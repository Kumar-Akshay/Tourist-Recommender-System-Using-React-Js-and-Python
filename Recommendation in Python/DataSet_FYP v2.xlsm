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AC403FBF-4B3F-430D-9C24-05746D3E2413}" xr6:coauthVersionLast="45" xr6:coauthVersionMax="45" xr10:uidLastSave="{00000000-0000-0000-0000-000000000000}"/>
  <bookViews>
    <workbookView xWindow="-120" yWindow="-120" windowWidth="19440" windowHeight="15150" xr2:uid="{00000000-000D-0000-FFFF-FFFF00000000}"/>
  </bookViews>
  <sheets>
    <sheet name="Sheet1" sheetId="1" r:id="rId1"/>
    <sheet name="Sheet2" sheetId="2" r:id="rId2"/>
    <sheet name="NVScriptsProperties" sheetId="3" state="hidden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58" i="1" l="1"/>
  <c r="U53" i="1"/>
  <c r="V53" i="1" a="1"/>
  <c r="V53" i="1" l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4" i="1"/>
  <c r="U55" i="1"/>
  <c r="U56" i="1"/>
  <c r="U57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3" i="1"/>
  <c r="U4" i="1"/>
  <c r="U5" i="1"/>
  <c r="U6" i="1"/>
  <c r="U7" i="1"/>
  <c r="U8" i="1"/>
  <c r="U9" i="1"/>
  <c r="U10" i="1"/>
  <c r="U11" i="1"/>
  <c r="U2" i="1"/>
  <c r="Y40" i="1" a="1"/>
  <c r="Y72" i="1" a="1"/>
  <c r="Y88" i="1" a="1"/>
  <c r="Y104" i="1" a="1"/>
  <c r="Y120" i="1" a="1"/>
  <c r="Y136" i="1" a="1"/>
  <c r="Y152" i="1" a="1"/>
  <c r="Y168" i="1" a="1"/>
  <c r="Y179" i="1" a="1"/>
  <c r="Y187" i="1" a="1"/>
  <c r="Y195" i="1" a="1"/>
  <c r="Y203" i="1" a="1"/>
  <c r="Y211" i="1" a="1"/>
  <c r="Y219" i="1" a="1"/>
  <c r="Y46" i="1" a="1"/>
  <c r="Y78" i="1" a="1"/>
  <c r="Y110" i="1" a="1"/>
  <c r="Y126" i="1" a="1"/>
  <c r="Y142" i="1" a="1"/>
  <c r="Y158" i="1" a="1"/>
  <c r="Y44" i="1" a="1"/>
  <c r="Y76" i="1" a="1"/>
  <c r="Y108" i="1" a="1"/>
  <c r="Y140" i="1" a="1"/>
  <c r="Y172" i="1" a="1"/>
  <c r="Y188" i="1" a="1"/>
  <c r="Y204" i="1" a="1"/>
  <c r="Y220" i="1" a="1"/>
  <c r="Y237" i="1" a="1"/>
  <c r="Y253" i="1" a="1"/>
  <c r="Y269" i="1" a="1"/>
  <c r="Y285" i="1" a="1"/>
  <c r="Y301" i="1" a="1"/>
  <c r="Y317" i="1" a="1"/>
  <c r="Y333" i="1" a="1"/>
  <c r="Y349" i="1" a="1"/>
  <c r="Y365" i="1" a="1"/>
  <c r="Y381" i="1" a="1"/>
  <c r="Y397" i="1" a="1"/>
  <c r="Y50" i="1" a="1"/>
  <c r="Y82" i="1" a="1"/>
  <c r="Y114" i="1" a="1"/>
  <c r="Y12" i="1" a="1"/>
  <c r="Y45" i="1" a="1"/>
  <c r="Y77" i="1" a="1"/>
  <c r="Y109" i="1" a="1"/>
  <c r="Y125" i="1" a="1"/>
  <c r="Y141" i="1" a="1"/>
  <c r="Y157" i="1" a="1"/>
  <c r="Y173" i="1" a="1"/>
  <c r="Y181" i="1" a="1"/>
  <c r="Y189" i="1" a="1"/>
  <c r="Y197" i="1" a="1"/>
  <c r="Y205" i="1" a="1"/>
  <c r="Y213" i="1" a="1"/>
  <c r="Y221" i="1" a="1"/>
  <c r="Y35" i="1" a="1"/>
  <c r="Y83" i="1" a="1"/>
  <c r="Y99" i="1" a="1"/>
  <c r="Y115" i="1" a="1"/>
  <c r="Y131" i="1" a="1"/>
  <c r="Y147" i="1" a="1"/>
  <c r="Y163" i="1" a="1"/>
  <c r="Y49" i="1" a="1"/>
  <c r="Y81" i="1" a="1"/>
  <c r="Y113" i="1" a="1"/>
  <c r="Y145" i="1" a="1"/>
  <c r="Y176" i="1" a="1"/>
  <c r="Y192" i="1" a="1"/>
  <c r="Y208" i="1" a="1"/>
  <c r="Y224" i="1" a="1"/>
  <c r="Y240" i="1" a="1"/>
  <c r="Y256" i="1" a="1"/>
  <c r="Y272" i="1" a="1"/>
  <c r="Y288" i="1" a="1"/>
  <c r="Y304" i="1" a="1"/>
  <c r="Y320" i="1" a="1"/>
  <c r="Y336" i="1" a="1"/>
  <c r="Y352" i="1" a="1"/>
  <c r="Y368" i="1" a="1"/>
  <c r="Y384" i="1" a="1"/>
  <c r="Y400" i="1" a="1"/>
  <c r="Y87" i="1" a="1"/>
  <c r="Y119" i="1" a="1"/>
  <c r="Y151" i="1" a="1"/>
  <c r="Y230" i="1" a="1"/>
  <c r="Y32" i="1" a="1"/>
  <c r="Y48" i="1" a="1"/>
  <c r="Y80" i="1" a="1"/>
  <c r="Y112" i="1" a="1"/>
  <c r="Y128" i="1" a="1"/>
  <c r="Y144" i="1" a="1"/>
  <c r="Y160" i="1" a="1"/>
  <c r="Y175" i="1" a="1"/>
  <c r="Y183" i="1" a="1"/>
  <c r="Y191" i="1" a="1"/>
  <c r="Y199" i="1" a="1"/>
  <c r="Y207" i="1" a="1"/>
  <c r="Y215" i="1" a="1"/>
  <c r="Y223" i="1" a="1"/>
  <c r="Y38" i="1" a="1"/>
  <c r="Y70" i="1" a="1"/>
  <c r="Y86" i="1" a="1"/>
  <c r="Y102" i="1" a="1"/>
  <c r="Y118" i="1" a="1"/>
  <c r="Y134" i="1" a="1"/>
  <c r="Y150" i="1" a="1"/>
  <c r="Y166" i="1" a="1"/>
  <c r="Y124" i="1" a="1"/>
  <c r="Y156" i="1" a="1"/>
  <c r="Y180" i="1" a="1"/>
  <c r="Y196" i="1" a="1"/>
  <c r="Y212" i="1" a="1"/>
  <c r="Y229" i="1" a="1"/>
  <c r="Y245" i="1" a="1"/>
  <c r="Y261" i="1" a="1"/>
  <c r="Y277" i="1" a="1"/>
  <c r="Y293" i="1" a="1"/>
  <c r="Y309" i="1" a="1"/>
  <c r="Y325" i="1" a="1"/>
  <c r="Y341" i="1" a="1"/>
  <c r="Y357" i="1" a="1"/>
  <c r="Y373" i="1" a="1"/>
  <c r="Y389" i="1" a="1"/>
  <c r="Y34" i="1" a="1"/>
  <c r="Y98" i="1" a="1"/>
  <c r="Y13" i="1" a="1"/>
  <c r="Y37" i="1" a="1"/>
  <c r="Y85" i="1" a="1"/>
  <c r="Y101" i="1" a="1"/>
  <c r="Y117" i="1" a="1"/>
  <c r="Y133" i="1" a="1"/>
  <c r="Y149" i="1" a="1"/>
  <c r="Y165" i="1" a="1"/>
  <c r="Y177" i="1" a="1"/>
  <c r="Y185" i="1" a="1"/>
  <c r="Y193" i="1" a="1"/>
  <c r="Y201" i="1" a="1"/>
  <c r="Y209" i="1" a="1"/>
  <c r="Y217" i="1" a="1"/>
  <c r="Y43" i="1" a="1"/>
  <c r="Y75" i="1" a="1"/>
  <c r="Y91" i="1" a="1"/>
  <c r="Y107" i="1" a="1"/>
  <c r="Y123" i="1" a="1"/>
  <c r="Y139" i="1" a="1"/>
  <c r="Y155" i="1" a="1"/>
  <c r="Y171" i="1" a="1"/>
  <c r="Y33" i="1" a="1"/>
  <c r="Y129" i="1" a="1"/>
  <c r="Y161" i="1" a="1"/>
  <c r="Y184" i="1" a="1"/>
  <c r="Y200" i="1" a="1"/>
  <c r="Y216" i="1" a="1"/>
  <c r="Y232" i="1" a="1"/>
  <c r="Y248" i="1" a="1"/>
  <c r="Y264" i="1" a="1"/>
  <c r="Y280" i="1" a="1"/>
  <c r="Y296" i="1" a="1"/>
  <c r="Y312" i="1" a="1"/>
  <c r="Y328" i="1" a="1"/>
  <c r="Y344" i="1" a="1"/>
  <c r="Y360" i="1" a="1"/>
  <c r="Y376" i="1" a="1"/>
  <c r="Y392" i="1" a="1"/>
  <c r="Y39" i="1" a="1"/>
  <c r="Y71" i="1" a="1"/>
  <c r="Y103" i="1" a="1"/>
  <c r="Y135" i="1" a="1"/>
  <c r="Y167" i="1" a="1"/>
  <c r="Y130" i="1" a="1"/>
  <c r="Y235" i="1" a="1"/>
  <c r="Y251" i="1" a="1"/>
  <c r="Y267" i="1" a="1"/>
  <c r="Y283" i="1" a="1"/>
  <c r="Y299" i="1" a="1"/>
  <c r="Y315" i="1" a="1"/>
  <c r="Y331" i="1" a="1"/>
  <c r="Y347" i="1" a="1"/>
  <c r="Y363" i="1" a="1"/>
  <c r="Y379" i="1" a="1"/>
  <c r="Y395" i="1" a="1"/>
  <c r="Y411" i="1" a="1"/>
  <c r="Y121" i="1" a="1"/>
  <c r="Y174" i="1" a="1"/>
  <c r="Y206" i="1" a="1"/>
  <c r="Y233" i="1" a="1"/>
  <c r="Y265" i="1" a="1"/>
  <c r="Y297" i="1" a="1"/>
  <c r="Y329" i="1" a="1"/>
  <c r="Y361" i="1" a="1"/>
  <c r="Y393" i="1" a="1"/>
  <c r="Y169" i="1" a="1"/>
  <c r="Y241" i="1" a="1"/>
  <c r="Y300" i="1" a="1"/>
  <c r="Y364" i="1" a="1"/>
  <c r="Y416" i="1" a="1"/>
  <c r="Y127" i="1" a="1"/>
  <c r="Y263" i="1" a="1"/>
  <c r="Y327" i="1" a="1"/>
  <c r="Y386" i="1" a="1"/>
  <c r="Y47" i="1" a="1"/>
  <c r="Y111" i="1" a="1"/>
  <c r="Y234" i="1" a="1"/>
  <c r="Y266" i="1" a="1"/>
  <c r="Y298" i="1" a="1"/>
  <c r="Y330" i="1" a="1"/>
  <c r="Y362" i="1" a="1"/>
  <c r="Y394" i="1" a="1"/>
  <c r="Y415" i="1" a="1"/>
  <c r="Y41" i="1" a="1"/>
  <c r="Y178" i="1" a="1"/>
  <c r="Y236" i="1" a="1"/>
  <c r="Y305" i="1" a="1"/>
  <c r="Y369" i="1" a="1"/>
  <c r="Y419" i="1" a="1"/>
  <c r="Y138" i="1" a="1"/>
  <c r="Y258" i="1" a="1"/>
  <c r="Y322" i="1" a="1"/>
  <c r="Y391" i="1" a="1"/>
  <c r="W355" i="1" a="1"/>
  <c r="W363" i="1" a="1"/>
  <c r="W371" i="1" a="1"/>
  <c r="W379" i="1" a="1"/>
  <c r="W387" i="1" a="1"/>
  <c r="W395" i="1" a="1"/>
  <c r="W403" i="1" a="1"/>
  <c r="W411" i="1" a="1"/>
  <c r="W419" i="1" a="1"/>
  <c r="W358" i="1" a="1"/>
  <c r="W366" i="1" a="1"/>
  <c r="W374" i="1" a="1"/>
  <c r="W382" i="1" a="1"/>
  <c r="W390" i="1" a="1"/>
  <c r="W398" i="1" a="1"/>
  <c r="W406" i="1" a="1"/>
  <c r="W414" i="1" a="1"/>
  <c r="W265" i="1" a="1"/>
  <c r="W35" i="1" a="1"/>
  <c r="W43" i="1" a="1"/>
  <c r="W75" i="1" a="1"/>
  <c r="W36" i="1" a="1"/>
  <c r="W82" i="1" a="1"/>
  <c r="W98" i="1" a="1"/>
  <c r="W114" i="1" a="1"/>
  <c r="W130" i="1" a="1"/>
  <c r="W146" i="1" a="1"/>
  <c r="W162" i="1" a="1"/>
  <c r="W85" i="1" a="1"/>
  <c r="W101" i="1" a="1"/>
  <c r="W117" i="1" a="1"/>
  <c r="W133" i="1" a="1"/>
  <c r="W149" i="1" a="1"/>
  <c r="W165" i="1" a="1"/>
  <c r="W177" i="1" a="1"/>
  <c r="W185" i="1" a="1"/>
  <c r="W193" i="1" a="1"/>
  <c r="W201" i="1" a="1"/>
  <c r="W209" i="1" a="1"/>
  <c r="W217" i="1" a="1"/>
  <c r="W225" i="1" a="1"/>
  <c r="W233" i="1" a="1"/>
  <c r="W241" i="1" a="1"/>
  <c r="W249" i="1" a="1"/>
  <c r="W257" i="1" a="1"/>
  <c r="W46" i="1" a="1"/>
  <c r="W78" i="1" a="1"/>
  <c r="W110" i="1" a="1"/>
  <c r="W126" i="1" a="1"/>
  <c r="W142" i="1" a="1"/>
  <c r="W158" i="1" a="1"/>
  <c r="W84" i="1" a="1"/>
  <c r="W148" i="1" a="1"/>
  <c r="W194" i="1" a="1"/>
  <c r="W216" i="1" a="1"/>
  <c r="W232" i="1" a="1"/>
  <c r="W248" i="1" a="1"/>
  <c r="W302" i="1" a="1"/>
  <c r="W320" i="1" a="1"/>
  <c r="W334" i="1" a="1"/>
  <c r="W350" i="1" a="1"/>
  <c r="W108" i="1" a="1"/>
  <c r="W172" i="1" a="1"/>
  <c r="W204" i="1" a="1"/>
  <c r="W270" i="1" a="1"/>
  <c r="W278" i="1" a="1"/>
  <c r="W286" i="1" a="1"/>
  <c r="W294" i="1" a="1"/>
  <c r="W304" i="1" a="1"/>
  <c r="W318" i="1" a="1"/>
  <c r="W336" i="1" a="1"/>
  <c r="W352" i="1" a="1"/>
  <c r="W124" i="1" a="1"/>
  <c r="W267" i="1" a="1"/>
  <c r="W283" i="1" a="1"/>
  <c r="W299" i="1" a="1"/>
  <c r="W315" i="1" a="1"/>
  <c r="W331" i="1" a="1"/>
  <c r="W347" i="1" a="1"/>
  <c r="W182" i="1" a="1"/>
  <c r="W226" i="1" a="1"/>
  <c r="W258" i="1" a="1"/>
  <c r="W269" i="1" a="1"/>
  <c r="W285" i="1" a="1"/>
  <c r="W301" i="1" a="1"/>
  <c r="W317" i="1" a="1"/>
  <c r="W333" i="1" a="1"/>
  <c r="W349" i="1" a="1"/>
  <c r="W190" i="1" a="1"/>
  <c r="W230" i="1" a="1"/>
  <c r="W238" i="1" a="1"/>
  <c r="W205" i="1" a="1"/>
  <c r="W221" i="1" a="1"/>
  <c r="W237" i="1" a="1"/>
  <c r="W253" i="1" a="1"/>
  <c r="W38" i="1" a="1"/>
  <c r="W86" i="1" a="1"/>
  <c r="W118" i="1" a="1"/>
  <c r="W150" i="1" a="1"/>
  <c r="W178" i="1" a="1"/>
  <c r="W256" i="1" a="1"/>
  <c r="W312" i="1" a="1"/>
  <c r="W121" i="1" a="1"/>
  <c r="W266" i="1" a="1"/>
  <c r="W282" i="1" a="1"/>
  <c r="W310" i="1" a="1"/>
  <c r="W132" i="1" a="1"/>
  <c r="W275" i="1" a="1"/>
  <c r="W323" i="1" a="1"/>
  <c r="W210" i="1" a="1"/>
  <c r="W184" i="1" a="1"/>
  <c r="W309" i="1" a="1"/>
  <c r="W153" i="1" a="1"/>
  <c r="W254" i="1" a="1"/>
  <c r="Y246" i="1" a="1"/>
  <c r="Y278" i="1" a="1"/>
  <c r="Y310" i="1" a="1"/>
  <c r="Y342" i="1" a="1"/>
  <c r="Y374" i="1" a="1"/>
  <c r="Y406" i="1" a="1"/>
  <c r="Y100" i="1" a="1"/>
  <c r="Y198" i="1" a="1"/>
  <c r="Y292" i="1" a="1"/>
  <c r="Y356" i="1" a="1"/>
  <c r="Y148" i="1" a="1"/>
  <c r="Y353" i="1" a="1"/>
  <c r="Y306" i="1" a="1"/>
  <c r="Y154" i="1" a="1"/>
  <c r="Y287" i="1" a="1"/>
  <c r="Y351" i="1" a="1"/>
  <c r="Y412" i="1" a="1"/>
  <c r="Y137" i="1" a="1"/>
  <c r="Y284" i="1" a="1"/>
  <c r="Y409" i="1" a="1"/>
  <c r="Y247" i="1" a="1"/>
  <c r="Y370" i="1" a="1"/>
  <c r="W361" i="1" a="1"/>
  <c r="W377" i="1" a="1"/>
  <c r="W393" i="1" a="1"/>
  <c r="W409" i="1" a="1"/>
  <c r="W356" i="1" a="1"/>
  <c r="W372" i="1" a="1"/>
  <c r="W388" i="1" a="1"/>
  <c r="W404" i="1" a="1"/>
  <c r="W420" i="1" a="1"/>
  <c r="W41" i="1" a="1"/>
  <c r="W73" i="1" a="1"/>
  <c r="W32" i="1" a="1"/>
  <c r="W79" i="1" a="1"/>
  <c r="W111" i="1" a="1"/>
  <c r="W143" i="1" a="1"/>
  <c r="W80" i="1" a="1"/>
  <c r="W112" i="1" a="1"/>
  <c r="W144" i="1" a="1"/>
  <c r="W175" i="1" a="1"/>
  <c r="W191" i="1" a="1"/>
  <c r="W215" i="1" a="1"/>
  <c r="W231" i="1" a="1"/>
  <c r="W247" i="1" a="1"/>
  <c r="W263" i="1" a="1"/>
  <c r="W42" i="1" a="1"/>
  <c r="W74" i="1" a="1"/>
  <c r="W107" i="1" a="1"/>
  <c r="W155" i="1" a="1"/>
  <c r="W137" i="1" a="1"/>
  <c r="W212" i="1" a="1"/>
  <c r="W260" i="1" a="1"/>
  <c r="W330" i="1" a="1"/>
  <c r="W161" i="1" a="1"/>
  <c r="W276" i="1" a="1"/>
  <c r="W300" i="1" a="1"/>
  <c r="W348" i="1" a="1"/>
  <c r="W279" i="1" a="1"/>
  <c r="W343" i="1" a="1"/>
  <c r="W200" i="1" a="1"/>
  <c r="W345" i="1" a="1"/>
  <c r="Y146" i="1" a="1"/>
  <c r="Y238" i="1" a="1"/>
  <c r="Y254" i="1" a="1"/>
  <c r="Y270" i="1" a="1"/>
  <c r="Y286" i="1" a="1"/>
  <c r="Y302" i="1" a="1"/>
  <c r="Y318" i="1" a="1"/>
  <c r="Y334" i="1" a="1"/>
  <c r="Y350" i="1" a="1"/>
  <c r="Y366" i="1" a="1"/>
  <c r="Y382" i="1" a="1"/>
  <c r="Y398" i="1" a="1"/>
  <c r="Y414" i="1" a="1"/>
  <c r="Y132" i="1" a="1"/>
  <c r="Y182" i="1" a="1"/>
  <c r="Y214" i="1" a="1"/>
  <c r="Y244" i="1" a="1"/>
  <c r="Y276" i="1" a="1"/>
  <c r="Y308" i="1" a="1"/>
  <c r="Y340" i="1" a="1"/>
  <c r="Y372" i="1" a="1"/>
  <c r="Y404" i="1" a="1"/>
  <c r="Y84" i="1" a="1"/>
  <c r="Y186" i="1" a="1"/>
  <c r="Y252" i="1" a="1"/>
  <c r="Y321" i="1" a="1"/>
  <c r="Y385" i="1" a="1"/>
  <c r="Y42" i="1" a="1"/>
  <c r="Y170" i="1" a="1"/>
  <c r="Y274" i="1" a="1"/>
  <c r="Y338" i="1" a="1"/>
  <c r="Y410" i="1" a="1"/>
  <c r="Y122" i="1" a="1"/>
  <c r="Y239" i="1" a="1"/>
  <c r="Y271" i="1" a="1"/>
  <c r="Y303" i="1" a="1"/>
  <c r="Y335" i="1" a="1"/>
  <c r="Y367" i="1" a="1"/>
  <c r="Y399" i="1" a="1"/>
  <c r="Y418" i="1" a="1"/>
  <c r="Y73" i="1" a="1"/>
  <c r="Y194" i="1" a="1"/>
  <c r="Y257" i="1" a="1"/>
  <c r="Y316" i="1" a="1"/>
  <c r="Y380" i="1" a="1"/>
  <c r="Y31" i="1" a="1"/>
  <c r="Y159" i="1" a="1"/>
  <c r="Y279" i="1" a="1"/>
  <c r="Y343" i="1" a="1"/>
  <c r="Y402" i="1" a="1"/>
  <c r="W357" i="1" a="1"/>
  <c r="W365" i="1" a="1"/>
  <c r="W373" i="1" a="1"/>
  <c r="W381" i="1" a="1"/>
  <c r="W389" i="1" a="1"/>
  <c r="W397" i="1" a="1"/>
  <c r="W405" i="1" a="1"/>
  <c r="W413" i="1" a="1"/>
  <c r="W421" i="1" a="1"/>
  <c r="W360" i="1" a="1"/>
  <c r="W368" i="1" a="1"/>
  <c r="W376" i="1" a="1"/>
  <c r="W384" i="1" a="1"/>
  <c r="W392" i="1" a="1"/>
  <c r="W400" i="1" a="1"/>
  <c r="W408" i="1" a="1"/>
  <c r="W416" i="1" a="1"/>
  <c r="W13" i="1" a="1"/>
  <c r="W37" i="1" a="1"/>
  <c r="W45" i="1" a="1"/>
  <c r="W77" i="1" a="1"/>
  <c r="W40" i="1" a="1"/>
  <c r="W72" i="1" a="1"/>
  <c r="W87" i="1" a="1"/>
  <c r="W103" i="1" a="1"/>
  <c r="W119" i="1" a="1"/>
  <c r="W135" i="1" a="1"/>
  <c r="W151" i="1" a="1"/>
  <c r="W167" i="1" a="1"/>
  <c r="W88" i="1" a="1"/>
  <c r="W104" i="1" a="1"/>
  <c r="W120" i="1" a="1"/>
  <c r="W136" i="1" a="1"/>
  <c r="W152" i="1" a="1"/>
  <c r="W168" i="1" a="1"/>
  <c r="W179" i="1" a="1"/>
  <c r="W187" i="1" a="1"/>
  <c r="W195" i="1" a="1"/>
  <c r="W203" i="1" a="1"/>
  <c r="W211" i="1" a="1"/>
  <c r="W219" i="1" a="1"/>
  <c r="W227" i="1" a="1"/>
  <c r="W235" i="1" a="1"/>
  <c r="W243" i="1" a="1"/>
  <c r="W251" i="1" a="1"/>
  <c r="W259" i="1" a="1"/>
  <c r="W34" i="1" a="1"/>
  <c r="W50" i="1" a="1"/>
  <c r="W83" i="1" a="1"/>
  <c r="W99" i="1" a="1"/>
  <c r="W115" i="1" a="1"/>
  <c r="W131" i="1" a="1"/>
  <c r="W147" i="1" a="1"/>
  <c r="W163" i="1" a="1"/>
  <c r="W105" i="1" a="1"/>
  <c r="W169" i="1" a="1"/>
  <c r="W202" i="1" a="1"/>
  <c r="W220" i="1" a="1"/>
  <c r="W236" i="1" a="1"/>
  <c r="W252" i="1" a="1"/>
  <c r="W308" i="1" a="1"/>
  <c r="W322" i="1" a="1"/>
  <c r="W338" i="1" a="1"/>
  <c r="W89" i="1" a="1"/>
  <c r="W129" i="1" a="1"/>
  <c r="W180" i="1" a="1"/>
  <c r="W264" i="1" a="1"/>
  <c r="W272" i="1" a="1"/>
  <c r="W280" i="1" a="1"/>
  <c r="W288" i="1" a="1"/>
  <c r="W296" i="1" a="1"/>
  <c r="W306" i="1" a="1"/>
  <c r="W324" i="1" a="1"/>
  <c r="W340" i="1" a="1"/>
  <c r="W100" i="1" a="1"/>
  <c r="W156" i="1" a="1"/>
  <c r="W271" i="1" a="1"/>
  <c r="W287" i="1" a="1"/>
  <c r="W303" i="1" a="1"/>
  <c r="W319" i="1" a="1"/>
  <c r="W335" i="1" a="1"/>
  <c r="W351" i="1" a="1"/>
  <c r="W198" i="1" a="1"/>
  <c r="W234" i="1" a="1"/>
  <c r="W145" i="1" a="1"/>
  <c r="W273" i="1" a="1"/>
  <c r="W289" i="1" a="1"/>
  <c r="W305" i="1" a="1"/>
  <c r="W321" i="1" a="1"/>
  <c r="W337" i="1" a="1"/>
  <c r="W113" i="1" a="1"/>
  <c r="W206" i="1" a="1"/>
  <c r="W246" i="1" a="1"/>
  <c r="W197" i="1" a="1"/>
  <c r="W229" i="1" a="1"/>
  <c r="W245" i="1" a="1"/>
  <c r="W261" i="1" a="1"/>
  <c r="W70" i="1" a="1"/>
  <c r="W134" i="1" a="1"/>
  <c r="W166" i="1" a="1"/>
  <c r="W208" i="1" a="1"/>
  <c r="W240" i="1" a="1"/>
  <c r="W326" i="1" a="1"/>
  <c r="W140" i="1" a="1"/>
  <c r="W274" i="1" a="1"/>
  <c r="W298" i="1" a="1"/>
  <c r="W328" i="1" a="1"/>
  <c r="W176" i="1" a="1"/>
  <c r="W291" i="1" a="1"/>
  <c r="W339" i="1" a="1"/>
  <c r="W242" i="1" a="1"/>
  <c r="W293" i="1" a="1"/>
  <c r="W325" i="1" a="1"/>
  <c r="W214" i="1" a="1"/>
  <c r="Y227" i="1" a="1"/>
  <c r="Y294" i="1" a="1"/>
  <c r="Y326" i="1" a="1"/>
  <c r="Y358" i="1" a="1"/>
  <c r="Y390" i="1" a="1"/>
  <c r="Y36" i="1" a="1"/>
  <c r="Y164" i="1" a="1"/>
  <c r="Y228" i="1" a="1"/>
  <c r="Y324" i="1" a="1"/>
  <c r="Y388" i="1" a="1"/>
  <c r="Y218" i="1" a="1"/>
  <c r="Y405" i="1" a="1"/>
  <c r="Y242" i="1" a="1"/>
  <c r="Y375" i="1" a="1"/>
  <c r="Y90" i="1" a="1"/>
  <c r="Y255" i="1" a="1"/>
  <c r="Y319" i="1" a="1"/>
  <c r="Y383" i="1" a="1"/>
  <c r="Y225" i="1" a="1"/>
  <c r="Y348" i="1" a="1"/>
  <c r="Y106" i="1" a="1"/>
  <c r="Y311" i="1" a="1"/>
  <c r="W353" i="1" a="1"/>
  <c r="W369" i="1" a="1"/>
  <c r="W385" i="1" a="1"/>
  <c r="W401" i="1" a="1"/>
  <c r="W417" i="1" a="1"/>
  <c r="W364" i="1" a="1"/>
  <c r="W380" i="1" a="1"/>
  <c r="W396" i="1" a="1"/>
  <c r="W412" i="1" a="1"/>
  <c r="W33" i="1" a="1"/>
  <c r="W49" i="1" a="1"/>
  <c r="W48" i="1" a="1"/>
  <c r="W127" i="1" a="1"/>
  <c r="W159" i="1" a="1"/>
  <c r="W128" i="1" a="1"/>
  <c r="W160" i="1" a="1"/>
  <c r="W183" i="1" a="1"/>
  <c r="W199" i="1" a="1"/>
  <c r="W223" i="1" a="1"/>
  <c r="W239" i="1" a="1"/>
  <c r="W255" i="1" a="1"/>
  <c r="W91" i="1" a="1"/>
  <c r="W123" i="1" a="1"/>
  <c r="W171" i="1" a="1"/>
  <c r="W186" i="1" a="1"/>
  <c r="W228" i="1" a="1"/>
  <c r="W316" i="1" a="1"/>
  <c r="W196" i="1" a="1"/>
  <c r="W284" i="1" a="1"/>
  <c r="W332" i="1" a="1"/>
  <c r="W192" i="1" a="1"/>
  <c r="W311" i="1" a="1"/>
  <c r="W164" i="1" a="1"/>
  <c r="W281" i="1" a="1"/>
  <c r="W329" i="1" a="1"/>
  <c r="W262" i="1" a="1"/>
  <c r="Y162" i="1" a="1"/>
  <c r="Y243" i="1" a="1"/>
  <c r="Y259" i="1" a="1"/>
  <c r="Y275" i="1" a="1"/>
  <c r="Y291" i="1" a="1"/>
  <c r="Y307" i="1" a="1"/>
  <c r="Y323" i="1" a="1"/>
  <c r="Y339" i="1" a="1"/>
  <c r="Y355" i="1" a="1"/>
  <c r="Y371" i="1" a="1"/>
  <c r="Y387" i="1" a="1"/>
  <c r="Y403" i="1" a="1"/>
  <c r="Y89" i="1" a="1"/>
  <c r="Y153" i="1" a="1"/>
  <c r="Y190" i="1" a="1"/>
  <c r="Y222" i="1" a="1"/>
  <c r="Y249" i="1" a="1"/>
  <c r="Y281" i="1" a="1"/>
  <c r="Y313" i="1" a="1"/>
  <c r="Y345" i="1" a="1"/>
  <c r="Y377" i="1" a="1"/>
  <c r="Y407" i="1" a="1"/>
  <c r="Y116" i="1" a="1"/>
  <c r="Y202" i="1" a="1"/>
  <c r="Y268" i="1" a="1"/>
  <c r="Y332" i="1" a="1"/>
  <c r="Y396" i="1" a="1"/>
  <c r="Y231" i="1" a="1"/>
  <c r="Y295" i="1" a="1"/>
  <c r="Y354" i="1" a="1"/>
  <c r="Y417" i="1" a="1"/>
  <c r="Y79" i="1" a="1"/>
  <c r="Y143" i="1" a="1"/>
  <c r="Y250" i="1" a="1"/>
  <c r="Y282" i="1" a="1"/>
  <c r="Y314" i="1" a="1"/>
  <c r="Y346" i="1" a="1"/>
  <c r="Y378" i="1" a="1"/>
  <c r="Y408" i="1" a="1"/>
  <c r="Y421" i="1" a="1"/>
  <c r="Y105" i="1" a="1"/>
  <c r="Y210" i="1" a="1"/>
  <c r="Y273" i="1" a="1"/>
  <c r="Y337" i="1" a="1"/>
  <c r="Y401" i="1" a="1"/>
  <c r="Y74" i="1" a="1"/>
  <c r="Y226" i="1" a="1"/>
  <c r="Y290" i="1" a="1"/>
  <c r="Y359" i="1" a="1"/>
  <c r="Y413" i="1" a="1"/>
  <c r="W359" i="1" a="1"/>
  <c r="W367" i="1" a="1"/>
  <c r="W375" i="1" a="1"/>
  <c r="W383" i="1" a="1"/>
  <c r="W391" i="1" a="1"/>
  <c r="W399" i="1" a="1"/>
  <c r="W407" i="1" a="1"/>
  <c r="W415" i="1" a="1"/>
  <c r="W354" i="1" a="1"/>
  <c r="W362" i="1" a="1"/>
  <c r="W370" i="1" a="1"/>
  <c r="W378" i="1" a="1"/>
  <c r="W386" i="1" a="1"/>
  <c r="W394" i="1" a="1"/>
  <c r="W402" i="1" a="1"/>
  <c r="W410" i="1" a="1"/>
  <c r="W418" i="1" a="1"/>
  <c r="W31" i="1" a="1"/>
  <c r="W39" i="1" a="1"/>
  <c r="W47" i="1" a="1"/>
  <c r="W71" i="1" a="1"/>
  <c r="W12" i="1" a="1"/>
  <c r="W44" i="1" a="1"/>
  <c r="W76" i="1" a="1"/>
  <c r="W90" i="1" a="1"/>
  <c r="W106" i="1" a="1"/>
  <c r="W122" i="1" a="1"/>
  <c r="W138" i="1" a="1"/>
  <c r="W154" i="1" a="1"/>
  <c r="W170" i="1" a="1"/>
  <c r="W109" i="1" a="1"/>
  <c r="W125" i="1" a="1"/>
  <c r="W141" i="1" a="1"/>
  <c r="W157" i="1" a="1"/>
  <c r="W173" i="1" a="1"/>
  <c r="W181" i="1" a="1"/>
  <c r="W189" i="1" a="1"/>
  <c r="W213" i="1" a="1"/>
  <c r="W102" i="1" a="1"/>
  <c r="W116" i="1" a="1"/>
  <c r="W224" i="1" a="1"/>
  <c r="W342" i="1" a="1"/>
  <c r="W188" i="1" a="1"/>
  <c r="W290" i="1" a="1"/>
  <c r="W344" i="1" a="1"/>
  <c r="W307" i="1" a="1"/>
  <c r="W277" i="1" a="1"/>
  <c r="W341" i="1" a="1"/>
  <c r="Y262" i="1" a="1"/>
  <c r="Y260" i="1" a="1"/>
  <c r="Y420" i="1" a="1"/>
  <c r="Y289" i="1" a="1"/>
  <c r="W207" i="1" a="1"/>
  <c r="W139" i="1" a="1"/>
  <c r="W244" i="1" a="1"/>
  <c r="W346" i="1" a="1"/>
  <c r="W268" i="1" a="1"/>
  <c r="W292" i="1" a="1"/>
  <c r="W81" i="1" a="1"/>
  <c r="W327" i="1" a="1"/>
  <c r="W250" i="1" a="1"/>
  <c r="W313" i="1" a="1"/>
  <c r="W222" i="1" a="1"/>
  <c r="W314" i="1" a="1"/>
  <c r="W295" i="1" a="1"/>
  <c r="W218" i="1" a="1"/>
  <c r="W297" i="1" a="1"/>
  <c r="W174" i="1" a="1"/>
  <c r="Y9" i="1" a="1"/>
  <c r="Y4" i="1" a="1"/>
  <c r="W7" i="1" a="1"/>
  <c r="W8" i="1" a="1"/>
  <c r="W10" i="1" a="1"/>
  <c r="Y7" i="1" a="1"/>
  <c r="W6" i="1" a="1"/>
  <c r="Y3" i="1" a="1"/>
  <c r="Y11" i="1" a="1"/>
  <c r="Y8" i="1" a="1"/>
  <c r="Y10" i="1" a="1"/>
  <c r="W4" i="1" a="1"/>
  <c r="W9" i="1" a="1"/>
  <c r="Y5" i="1" a="1"/>
  <c r="W5" i="1" a="1"/>
  <c r="W11" i="1" a="1"/>
  <c r="W3" i="1" a="1"/>
  <c r="Y2" i="1" a="1"/>
  <c r="W2" i="1" a="1"/>
  <c r="Y6" i="1" a="1"/>
  <c r="Y93" i="1" a="1"/>
  <c r="Y97" i="1" a="1"/>
  <c r="W97" i="1" a="1"/>
  <c r="Y96" i="1" a="1"/>
  <c r="W94" i="1" a="1"/>
  <c r="Y95" i="1" a="1"/>
  <c r="W96" i="1" a="1"/>
  <c r="W93" i="1" a="1"/>
  <c r="Y94" i="1" a="1"/>
  <c r="W95" i="1" a="1"/>
  <c r="W92" i="1" a="1"/>
  <c r="Y92" i="1" a="1"/>
  <c r="Y62" i="1" a="1"/>
  <c r="Y55" i="1" a="1"/>
  <c r="Y59" i="1" a="1"/>
  <c r="W59" i="1" a="1"/>
  <c r="W52" i="1" a="1"/>
  <c r="W53" i="1" a="1"/>
  <c r="W66" i="1" a="1"/>
  <c r="W62" i="1" a="1"/>
  <c r="W54" i="1" a="1"/>
  <c r="W63" i="1" a="1"/>
  <c r="W60" i="1" a="1"/>
  <c r="W64" i="1" a="1"/>
  <c r="W58" i="1" a="1"/>
  <c r="Y61" i="1" a="1"/>
  <c r="Y64" i="1" a="1"/>
  <c r="Y52" i="1" a="1"/>
  <c r="Y56" i="1" a="1"/>
  <c r="Y66" i="1" a="1"/>
  <c r="Y53" i="1" a="1"/>
  <c r="Y65" i="1" a="1"/>
  <c r="Y57" i="1" a="1"/>
  <c r="W67" i="1" a="1"/>
  <c r="W68" i="1" a="1"/>
  <c r="W57" i="1" a="1"/>
  <c r="Y68" i="1" a="1"/>
  <c r="Y58" i="1" a="1"/>
  <c r="W61" i="1" a="1"/>
  <c r="W56" i="1" a="1"/>
  <c r="W65" i="1" a="1"/>
  <c r="Y63" i="1" a="1"/>
  <c r="W55" i="1" a="1"/>
  <c r="W69" i="1" a="1"/>
  <c r="Y67" i="1" a="1"/>
  <c r="Y54" i="1" a="1"/>
  <c r="Y60" i="1" a="1"/>
  <c r="Y69" i="1" a="1"/>
  <c r="Y51" i="1" a="1"/>
  <c r="W51" i="1" a="1"/>
  <c r="W27" i="1" a="1"/>
  <c r="Y15" i="1" a="1"/>
  <c r="Y22" i="1" a="1"/>
  <c r="Y28" i="1" a="1"/>
  <c r="Y20" i="1" a="1"/>
  <c r="Y27" i="1" a="1"/>
  <c r="Y25" i="1" a="1"/>
  <c r="Y23" i="1" a="1"/>
  <c r="Y17" i="1" a="1"/>
  <c r="Y19" i="1" a="1"/>
  <c r="Y26" i="1" a="1"/>
  <c r="Y29" i="1" a="1"/>
  <c r="Y24" i="1" a="1"/>
  <c r="Y30" i="1" a="1"/>
  <c r="Y16" i="1" a="1"/>
  <c r="Y18" i="1" a="1"/>
  <c r="Y21" i="1" a="1"/>
  <c r="W15" i="1" a="1"/>
  <c r="W17" i="1" a="1"/>
  <c r="W19" i="1" a="1"/>
  <c r="W21" i="1" a="1"/>
  <c r="W23" i="1" a="1"/>
  <c r="W25" i="1" a="1"/>
  <c r="W29" i="1" a="1"/>
  <c r="W20" i="1" a="1"/>
  <c r="W26" i="1" a="1"/>
  <c r="W16" i="1" a="1"/>
  <c r="W22" i="1" a="1"/>
  <c r="W30" i="1" a="1"/>
  <c r="W18" i="1" a="1"/>
  <c r="W24" i="1" a="1"/>
  <c r="W28" i="1" a="1"/>
  <c r="Y14" i="1" a="1"/>
  <c r="W14" i="1" a="1"/>
  <c r="W51" i="1" l="1"/>
  <c r="W27" i="1"/>
  <c r="W28" i="1"/>
  <c r="W24" i="1"/>
  <c r="W18" i="1"/>
  <c r="W30" i="1"/>
  <c r="W22" i="1"/>
  <c r="W16" i="1"/>
  <c r="W26" i="1"/>
  <c r="W20" i="1"/>
  <c r="W29" i="1"/>
  <c r="W25" i="1"/>
  <c r="W23" i="1"/>
  <c r="W21" i="1"/>
  <c r="W19" i="1"/>
  <c r="W17" i="1"/>
  <c r="W15" i="1"/>
  <c r="W14" i="1"/>
  <c r="Y6" i="1"/>
  <c r="Z6" i="1" s="1"/>
  <c r="Y2" i="1"/>
  <c r="Y413" i="1"/>
  <c r="Z413" i="1" s="1"/>
  <c r="Y402" i="1"/>
  <c r="Z402" i="1" s="1"/>
  <c r="Y391" i="1"/>
  <c r="Z391" i="1" s="1"/>
  <c r="Y370" i="1"/>
  <c r="Z370" i="1" s="1"/>
  <c r="Y359" i="1"/>
  <c r="Z359" i="1" s="1"/>
  <c r="Y343" i="1"/>
  <c r="Z343" i="1" s="1"/>
  <c r="Y322" i="1"/>
  <c r="Z322" i="1" s="1"/>
  <c r="Y311" i="1"/>
  <c r="Z311" i="1" s="1"/>
  <c r="Y290" i="1"/>
  <c r="Z290" i="1" s="1"/>
  <c r="Y279" i="1"/>
  <c r="Z279" i="1" s="1"/>
  <c r="Y258" i="1"/>
  <c r="Z258" i="1" s="1"/>
  <c r="Y247" i="1"/>
  <c r="Z247" i="1" s="1"/>
  <c r="Y226" i="1"/>
  <c r="Z226" i="1" s="1"/>
  <c r="Y159" i="1"/>
  <c r="Z159" i="1" s="1"/>
  <c r="Y138" i="1"/>
  <c r="Z138" i="1" s="1"/>
  <c r="Y106" i="1"/>
  <c r="Z106" i="1" s="1"/>
  <c r="Y74" i="1"/>
  <c r="Z74" i="1" s="1"/>
  <c r="Y31" i="1"/>
  <c r="Z31" i="1" s="1"/>
  <c r="Y419" i="1"/>
  <c r="Z419" i="1" s="1"/>
  <c r="Y409" i="1"/>
  <c r="Z409" i="1" s="1"/>
  <c r="Y401" i="1"/>
  <c r="Z401" i="1" s="1"/>
  <c r="Y380" i="1"/>
  <c r="Z380" i="1" s="1"/>
  <c r="Y369" i="1"/>
  <c r="Z369" i="1" s="1"/>
  <c r="Y348" i="1"/>
  <c r="Z348" i="1" s="1"/>
  <c r="Y337" i="1"/>
  <c r="Z337" i="1" s="1"/>
  <c r="Y316" i="1"/>
  <c r="Z316" i="1" s="1"/>
  <c r="Y305" i="1"/>
  <c r="Z305" i="1" s="1"/>
  <c r="Y284" i="1"/>
  <c r="Z284" i="1" s="1"/>
  <c r="Y273" i="1"/>
  <c r="Z273" i="1" s="1"/>
  <c r="Y257" i="1"/>
  <c r="Z257" i="1" s="1"/>
  <c r="Y236" i="1"/>
  <c r="Z236" i="1" s="1"/>
  <c r="Y225" i="1"/>
  <c r="Z225" i="1" s="1"/>
  <c r="Y210" i="1"/>
  <c r="Z210" i="1" s="1"/>
  <c r="Y194" i="1"/>
  <c r="Z194" i="1" s="1"/>
  <c r="Y178" i="1"/>
  <c r="Z178" i="1" s="1"/>
  <c r="Y137" i="1"/>
  <c r="Z137" i="1" s="1"/>
  <c r="Y105" i="1"/>
  <c r="Z105" i="1" s="1"/>
  <c r="Y73" i="1"/>
  <c r="Z73" i="1" s="1"/>
  <c r="Y41" i="1"/>
  <c r="Z41" i="1" s="1"/>
  <c r="Y18" i="1"/>
  <c r="Z18" i="1" s="1"/>
  <c r="Y421" i="1"/>
  <c r="Z421" i="1" s="1"/>
  <c r="Y418" i="1"/>
  <c r="Z418" i="1" s="1"/>
  <c r="Y415" i="1"/>
  <c r="Z415" i="1" s="1"/>
  <c r="Y412" i="1"/>
  <c r="Z412" i="1" s="1"/>
  <c r="Y408" i="1"/>
  <c r="Z408" i="1" s="1"/>
  <c r="Y399" i="1"/>
  <c r="Z399" i="1" s="1"/>
  <c r="Y394" i="1"/>
  <c r="Z394" i="1" s="1"/>
  <c r="Y383" i="1"/>
  <c r="Z383" i="1" s="1"/>
  <c r="Y378" i="1"/>
  <c r="Z378" i="1" s="1"/>
  <c r="Y367" i="1"/>
  <c r="Z367" i="1" s="1"/>
  <c r="Y362" i="1"/>
  <c r="Z362" i="1" s="1"/>
  <c r="Y351" i="1"/>
  <c r="Z351" i="1" s="1"/>
  <c r="Y346" i="1"/>
  <c r="Z346" i="1" s="1"/>
  <c r="Y335" i="1"/>
  <c r="Z335" i="1" s="1"/>
  <c r="Y330" i="1"/>
  <c r="Z330" i="1" s="1"/>
  <c r="Y319" i="1"/>
  <c r="Z319" i="1" s="1"/>
  <c r="Y314" i="1"/>
  <c r="Z314" i="1" s="1"/>
  <c r="Y303" i="1"/>
  <c r="Z303" i="1" s="1"/>
  <c r="Y298" i="1"/>
  <c r="Z298" i="1" s="1"/>
  <c r="Y287" i="1"/>
  <c r="Z287" i="1" s="1"/>
  <c r="Y282" i="1"/>
  <c r="Z282" i="1" s="1"/>
  <c r="Y271" i="1"/>
  <c r="Z271" i="1" s="1"/>
  <c r="Y266" i="1"/>
  <c r="Z266" i="1" s="1"/>
  <c r="Y255" i="1"/>
  <c r="Z255" i="1" s="1"/>
  <c r="Y250" i="1"/>
  <c r="Z250" i="1" s="1"/>
  <c r="Y239" i="1"/>
  <c r="Z239" i="1" s="1"/>
  <c r="Y234" i="1"/>
  <c r="Z234" i="1" s="1"/>
  <c r="Y154" i="1"/>
  <c r="Z154" i="1" s="1"/>
  <c r="Y143" i="1"/>
  <c r="Z143" i="1" s="1"/>
  <c r="Y122" i="1"/>
  <c r="Z122" i="1" s="1"/>
  <c r="Y111" i="1"/>
  <c r="Z111" i="1" s="1"/>
  <c r="Y90" i="1"/>
  <c r="Z90" i="1" s="1"/>
  <c r="Y79" i="1"/>
  <c r="Z79" i="1" s="1"/>
  <c r="Y58" i="1"/>
  <c r="Z58" i="1" s="1"/>
  <c r="Y47" i="1"/>
  <c r="Z47" i="1" s="1"/>
  <c r="Y26" i="1"/>
  <c r="Z26" i="1" s="1"/>
  <c r="Y417" i="1"/>
  <c r="Z417" i="1" s="1"/>
  <c r="Y410" i="1"/>
  <c r="Z410" i="1" s="1"/>
  <c r="Y386" i="1"/>
  <c r="Z386" i="1" s="1"/>
  <c r="Y375" i="1"/>
  <c r="Z375" i="1" s="1"/>
  <c r="Y354" i="1"/>
  <c r="Z354" i="1" s="1"/>
  <c r="Y338" i="1"/>
  <c r="Z338" i="1" s="1"/>
  <c r="Y327" i="1"/>
  <c r="Z327" i="1" s="1"/>
  <c r="Y306" i="1"/>
  <c r="Z306" i="1" s="1"/>
  <c r="Y295" i="1"/>
  <c r="Z295" i="1" s="1"/>
  <c r="Y274" i="1"/>
  <c r="Z274" i="1" s="1"/>
  <c r="Y263" i="1"/>
  <c r="Z263" i="1" s="1"/>
  <c r="Y242" i="1"/>
  <c r="Z242" i="1" s="1"/>
  <c r="Y231" i="1"/>
  <c r="Z231" i="1" s="1"/>
  <c r="Y170" i="1"/>
  <c r="Z170" i="1" s="1"/>
  <c r="Y127" i="1"/>
  <c r="Z127" i="1" s="1"/>
  <c r="Y95" i="1"/>
  <c r="Z95" i="1" s="1"/>
  <c r="Y63" i="1"/>
  <c r="Z63" i="1" s="1"/>
  <c r="Y42" i="1"/>
  <c r="Z42" i="1" s="1"/>
  <c r="Y416" i="1"/>
  <c r="Z416" i="1" s="1"/>
  <c r="Y405" i="1"/>
  <c r="Z405" i="1" s="1"/>
  <c r="Y396" i="1"/>
  <c r="Z396" i="1" s="1"/>
  <c r="Y385" i="1"/>
  <c r="Z385" i="1" s="1"/>
  <c r="Y364" i="1"/>
  <c r="Z364" i="1" s="1"/>
  <c r="Y353" i="1"/>
  <c r="Z353" i="1" s="1"/>
  <c r="Y332" i="1"/>
  <c r="Z332" i="1" s="1"/>
  <c r="Y321" i="1"/>
  <c r="Z321" i="1" s="1"/>
  <c r="Y300" i="1"/>
  <c r="Z300" i="1" s="1"/>
  <c r="Y289" i="1"/>
  <c r="Z289" i="1" s="1"/>
  <c r="Y268" i="1"/>
  <c r="Z268" i="1" s="1"/>
  <c r="Y252" i="1"/>
  <c r="Z252" i="1" s="1"/>
  <c r="Y241" i="1"/>
  <c r="Z241" i="1" s="1"/>
  <c r="Y218" i="1"/>
  <c r="Z218" i="1" s="1"/>
  <c r="Y202" i="1"/>
  <c r="Z202" i="1" s="1"/>
  <c r="Y186" i="1"/>
  <c r="Z186" i="1" s="1"/>
  <c r="Y169" i="1"/>
  <c r="Z169" i="1" s="1"/>
  <c r="Y148" i="1"/>
  <c r="Z148" i="1" s="1"/>
  <c r="Y116" i="1"/>
  <c r="Z116" i="1" s="1"/>
  <c r="Y84" i="1"/>
  <c r="Z84" i="1" s="1"/>
  <c r="Y52" i="1"/>
  <c r="Z52" i="1" s="1"/>
  <c r="Y420" i="1"/>
  <c r="Z420" i="1" s="1"/>
  <c r="Y407" i="1"/>
  <c r="Z407" i="1" s="1"/>
  <c r="Y404" i="1"/>
  <c r="Z404" i="1" s="1"/>
  <c r="Y393" i="1"/>
  <c r="Z393" i="1" s="1"/>
  <c r="Y388" i="1"/>
  <c r="Z388" i="1" s="1"/>
  <c r="Y377" i="1"/>
  <c r="Z377" i="1" s="1"/>
  <c r="Y372" i="1"/>
  <c r="Z372" i="1" s="1"/>
  <c r="Y361" i="1"/>
  <c r="Z361" i="1" s="1"/>
  <c r="Y356" i="1"/>
  <c r="Z356" i="1" s="1"/>
  <c r="Y345" i="1"/>
  <c r="Z345" i="1" s="1"/>
  <c r="Y340" i="1"/>
  <c r="Z340" i="1" s="1"/>
  <c r="Y329" i="1"/>
  <c r="Z329" i="1" s="1"/>
  <c r="Y324" i="1"/>
  <c r="Z324" i="1" s="1"/>
  <c r="Y313" i="1"/>
  <c r="Z313" i="1" s="1"/>
  <c r="Y308" i="1"/>
  <c r="Z308" i="1" s="1"/>
  <c r="Y297" i="1"/>
  <c r="Z297" i="1" s="1"/>
  <c r="Y292" i="1"/>
  <c r="Z292" i="1" s="1"/>
  <c r="Y281" i="1"/>
  <c r="Z281" i="1" s="1"/>
  <c r="Y276" i="1"/>
  <c r="Z276" i="1" s="1"/>
  <c r="Y265" i="1"/>
  <c r="Z265" i="1" s="1"/>
  <c r="Y260" i="1"/>
  <c r="Z260" i="1" s="1"/>
  <c r="Y249" i="1"/>
  <c r="Z249" i="1" s="1"/>
  <c r="Y244" i="1"/>
  <c r="Z244" i="1" s="1"/>
  <c r="Y233" i="1"/>
  <c r="Z233" i="1" s="1"/>
  <c r="Y228" i="1"/>
  <c r="Z228" i="1" s="1"/>
  <c r="Y222" i="1"/>
  <c r="Z222" i="1" s="1"/>
  <c r="Y214" i="1"/>
  <c r="Z214" i="1" s="1"/>
  <c r="Y206" i="1"/>
  <c r="Z206" i="1" s="1"/>
  <c r="Y198" i="1"/>
  <c r="Z198" i="1" s="1"/>
  <c r="Y190" i="1"/>
  <c r="Z190" i="1" s="1"/>
  <c r="Y182" i="1"/>
  <c r="Z182" i="1" s="1"/>
  <c r="Y174" i="1"/>
  <c r="Z174" i="1" s="1"/>
  <c r="Y164" i="1"/>
  <c r="Z164" i="1" s="1"/>
  <c r="Y153" i="1"/>
  <c r="Z153" i="1" s="1"/>
  <c r="Y132" i="1"/>
  <c r="Z132" i="1" s="1"/>
  <c r="Y121" i="1"/>
  <c r="Z121" i="1" s="1"/>
  <c r="Y100" i="1"/>
  <c r="Z100" i="1" s="1"/>
  <c r="Y89" i="1"/>
  <c r="Z89" i="1" s="1"/>
  <c r="Y68" i="1"/>
  <c r="Z68" i="1" s="1"/>
  <c r="Y57" i="1"/>
  <c r="Z57" i="1" s="1"/>
  <c r="Y36" i="1"/>
  <c r="Z36" i="1" s="1"/>
  <c r="Y25" i="1"/>
  <c r="Z25" i="1" s="1"/>
  <c r="Y10" i="1"/>
  <c r="Z10" i="1" s="1"/>
  <c r="Y414" i="1"/>
  <c r="Z414" i="1" s="1"/>
  <c r="Y411" i="1"/>
  <c r="Z411" i="1" s="1"/>
  <c r="Y406" i="1"/>
  <c r="Z406" i="1" s="1"/>
  <c r="Y403" i="1"/>
  <c r="Z403" i="1" s="1"/>
  <c r="Y398" i="1"/>
  <c r="Z398" i="1" s="1"/>
  <c r="Y395" i="1"/>
  <c r="Z395" i="1" s="1"/>
  <c r="Y390" i="1"/>
  <c r="Z390" i="1" s="1"/>
  <c r="Y387" i="1"/>
  <c r="Z387" i="1" s="1"/>
  <c r="Y382" i="1"/>
  <c r="Z382" i="1" s="1"/>
  <c r="Y379" i="1"/>
  <c r="Z379" i="1" s="1"/>
  <c r="Y374" i="1"/>
  <c r="Z374" i="1" s="1"/>
  <c r="Y371" i="1"/>
  <c r="Z371" i="1" s="1"/>
  <c r="Y366" i="1"/>
  <c r="Z366" i="1" s="1"/>
  <c r="Y363" i="1"/>
  <c r="Z363" i="1" s="1"/>
  <c r="Y358" i="1"/>
  <c r="Z358" i="1" s="1"/>
  <c r="Y355" i="1"/>
  <c r="Z355" i="1" s="1"/>
  <c r="Y350" i="1"/>
  <c r="Z350" i="1" s="1"/>
  <c r="Y347" i="1"/>
  <c r="Z347" i="1" s="1"/>
  <c r="Y342" i="1"/>
  <c r="Z342" i="1" s="1"/>
  <c r="Y339" i="1"/>
  <c r="Z339" i="1" s="1"/>
  <c r="Y334" i="1"/>
  <c r="Z334" i="1" s="1"/>
  <c r="Y331" i="1"/>
  <c r="Z331" i="1" s="1"/>
  <c r="Y326" i="1"/>
  <c r="Z326" i="1" s="1"/>
  <c r="Y323" i="1"/>
  <c r="Z323" i="1" s="1"/>
  <c r="Y318" i="1"/>
  <c r="Z318" i="1" s="1"/>
  <c r="Y315" i="1"/>
  <c r="Z315" i="1" s="1"/>
  <c r="Y310" i="1"/>
  <c r="Z310" i="1" s="1"/>
  <c r="Y307" i="1"/>
  <c r="Z307" i="1" s="1"/>
  <c r="Y302" i="1"/>
  <c r="Z302" i="1" s="1"/>
  <c r="Y299" i="1"/>
  <c r="Z299" i="1" s="1"/>
  <c r="Y294" i="1"/>
  <c r="Z294" i="1" s="1"/>
  <c r="Y291" i="1"/>
  <c r="Z291" i="1" s="1"/>
  <c r="Y286" i="1"/>
  <c r="Z286" i="1" s="1"/>
  <c r="Y283" i="1"/>
  <c r="Z283" i="1" s="1"/>
  <c r="Y278" i="1"/>
  <c r="Z278" i="1" s="1"/>
  <c r="Y275" i="1"/>
  <c r="Z275" i="1" s="1"/>
  <c r="Y270" i="1"/>
  <c r="Z270" i="1" s="1"/>
  <c r="Y267" i="1"/>
  <c r="Z267" i="1" s="1"/>
  <c r="Y262" i="1"/>
  <c r="Z262" i="1" s="1"/>
  <c r="Y259" i="1"/>
  <c r="Z259" i="1" s="1"/>
  <c r="Y254" i="1"/>
  <c r="Z254" i="1" s="1"/>
  <c r="Y251" i="1"/>
  <c r="Z251" i="1" s="1"/>
  <c r="Y246" i="1"/>
  <c r="Z246" i="1" s="1"/>
  <c r="Y243" i="1"/>
  <c r="Z243" i="1" s="1"/>
  <c r="Y238" i="1"/>
  <c r="Z238" i="1" s="1"/>
  <c r="Y235" i="1"/>
  <c r="Z235" i="1" s="1"/>
  <c r="Y230" i="1"/>
  <c r="Z230" i="1" s="1"/>
  <c r="Y227" i="1"/>
  <c r="Z227" i="1" s="1"/>
  <c r="Y167" i="1"/>
  <c r="Z167" i="1" s="1"/>
  <c r="Y162" i="1"/>
  <c r="Z162" i="1" s="1"/>
  <c r="Y151" i="1"/>
  <c r="Z151" i="1" s="1"/>
  <c r="Y146" i="1"/>
  <c r="Z146" i="1" s="1"/>
  <c r="Y135" i="1"/>
  <c r="Z135" i="1" s="1"/>
  <c r="Y130" i="1"/>
  <c r="Z130" i="1" s="1"/>
  <c r="Y119" i="1"/>
  <c r="Z119" i="1" s="1"/>
  <c r="Y114" i="1"/>
  <c r="Z114" i="1" s="1"/>
  <c r="Y103" i="1"/>
  <c r="Z103" i="1" s="1"/>
  <c r="Y98" i="1"/>
  <c r="Z98" i="1" s="1"/>
  <c r="Y87" i="1"/>
  <c r="Z87" i="1" s="1"/>
  <c r="Y82" i="1"/>
  <c r="Z82" i="1" s="1"/>
  <c r="Y71" i="1"/>
  <c r="Z71" i="1" s="1"/>
  <c r="Y66" i="1"/>
  <c r="Z66" i="1" s="1"/>
  <c r="Y55" i="1"/>
  <c r="Z55" i="1" s="1"/>
  <c r="Y50" i="1"/>
  <c r="Z50" i="1" s="1"/>
  <c r="Y39" i="1"/>
  <c r="Z39" i="1" s="1"/>
  <c r="Y34" i="1"/>
  <c r="Z34" i="1" s="1"/>
  <c r="Y400" i="1"/>
  <c r="Z400" i="1" s="1"/>
  <c r="Y397" i="1"/>
  <c r="Z397" i="1" s="1"/>
  <c r="Y392" i="1"/>
  <c r="Z392" i="1" s="1"/>
  <c r="Y389" i="1"/>
  <c r="Z389" i="1" s="1"/>
  <c r="Y384" i="1"/>
  <c r="Z384" i="1" s="1"/>
  <c r="Y381" i="1"/>
  <c r="Z381" i="1" s="1"/>
  <c r="Y376" i="1"/>
  <c r="Z376" i="1" s="1"/>
  <c r="Y373" i="1"/>
  <c r="Z373" i="1" s="1"/>
  <c r="Y368" i="1"/>
  <c r="Z368" i="1" s="1"/>
  <c r="Y365" i="1"/>
  <c r="Z365" i="1" s="1"/>
  <c r="Y360" i="1"/>
  <c r="Z360" i="1" s="1"/>
  <c r="Y357" i="1"/>
  <c r="Z357" i="1" s="1"/>
  <c r="Y352" i="1"/>
  <c r="Z352" i="1" s="1"/>
  <c r="Y349" i="1"/>
  <c r="Z349" i="1" s="1"/>
  <c r="Y344" i="1"/>
  <c r="Z344" i="1" s="1"/>
  <c r="Y341" i="1"/>
  <c r="Z341" i="1" s="1"/>
  <c r="Y336" i="1"/>
  <c r="Z336" i="1" s="1"/>
  <c r="Y333" i="1"/>
  <c r="Z333" i="1" s="1"/>
  <c r="Y328" i="1"/>
  <c r="Z328" i="1" s="1"/>
  <c r="Y325" i="1"/>
  <c r="Z325" i="1" s="1"/>
  <c r="Y320" i="1"/>
  <c r="Z320" i="1" s="1"/>
  <c r="Y317" i="1"/>
  <c r="Z317" i="1" s="1"/>
  <c r="Y312" i="1"/>
  <c r="Z312" i="1" s="1"/>
  <c r="Y309" i="1"/>
  <c r="Z309" i="1" s="1"/>
  <c r="Y304" i="1"/>
  <c r="Z304" i="1" s="1"/>
  <c r="Y301" i="1"/>
  <c r="Z301" i="1" s="1"/>
  <c r="Y296" i="1"/>
  <c r="Z296" i="1" s="1"/>
  <c r="Y293" i="1"/>
  <c r="Z293" i="1" s="1"/>
  <c r="Y288" i="1"/>
  <c r="Z288" i="1" s="1"/>
  <c r="Y285" i="1"/>
  <c r="Z285" i="1" s="1"/>
  <c r="Y280" i="1"/>
  <c r="Z280" i="1" s="1"/>
  <c r="Y277" i="1"/>
  <c r="Z277" i="1" s="1"/>
  <c r="Y272" i="1"/>
  <c r="Z272" i="1" s="1"/>
  <c r="Y269" i="1"/>
  <c r="Z269" i="1" s="1"/>
  <c r="Y264" i="1"/>
  <c r="Z264" i="1" s="1"/>
  <c r="Y261" i="1"/>
  <c r="Z261" i="1" s="1"/>
  <c r="Y256" i="1"/>
  <c r="Z256" i="1" s="1"/>
  <c r="Y253" i="1"/>
  <c r="Z253" i="1" s="1"/>
  <c r="Y248" i="1"/>
  <c r="Z248" i="1" s="1"/>
  <c r="Y245" i="1"/>
  <c r="Z245" i="1" s="1"/>
  <c r="Y240" i="1"/>
  <c r="Z240" i="1" s="1"/>
  <c r="Y237" i="1"/>
  <c r="Z237" i="1" s="1"/>
  <c r="Y232" i="1"/>
  <c r="Z232" i="1" s="1"/>
  <c r="Y229" i="1"/>
  <c r="Z229" i="1" s="1"/>
  <c r="Y224" i="1"/>
  <c r="Z224" i="1" s="1"/>
  <c r="Y220" i="1"/>
  <c r="Z220" i="1" s="1"/>
  <c r="Y216" i="1"/>
  <c r="Z216" i="1" s="1"/>
  <c r="Y212" i="1"/>
  <c r="Z212" i="1" s="1"/>
  <c r="Y208" i="1"/>
  <c r="Z208" i="1" s="1"/>
  <c r="Y204" i="1"/>
  <c r="Z204" i="1" s="1"/>
  <c r="Y200" i="1"/>
  <c r="Z200" i="1" s="1"/>
  <c r="Y196" i="1"/>
  <c r="Z196" i="1" s="1"/>
  <c r="Y192" i="1"/>
  <c r="Z192" i="1" s="1"/>
  <c r="Y188" i="1"/>
  <c r="Z188" i="1" s="1"/>
  <c r="Y184" i="1"/>
  <c r="Z184" i="1" s="1"/>
  <c r="Y180" i="1"/>
  <c r="Z180" i="1" s="1"/>
  <c r="Y176" i="1"/>
  <c r="Z176" i="1" s="1"/>
  <c r="Y172" i="1"/>
  <c r="Z172" i="1" s="1"/>
  <c r="Y161" i="1"/>
  <c r="Z161" i="1" s="1"/>
  <c r="Y156" i="1"/>
  <c r="Z156" i="1" s="1"/>
  <c r="Y145" i="1"/>
  <c r="Z145" i="1" s="1"/>
  <c r="Y140" i="1"/>
  <c r="Z140" i="1" s="1"/>
  <c r="Y129" i="1"/>
  <c r="Z129" i="1" s="1"/>
  <c r="Y124" i="1"/>
  <c r="Z124" i="1" s="1"/>
  <c r="Y113" i="1"/>
  <c r="Z113" i="1" s="1"/>
  <c r="Y108" i="1"/>
  <c r="Z108" i="1" s="1"/>
  <c r="Y97" i="1"/>
  <c r="Z97" i="1" s="1"/>
  <c r="Y92" i="1"/>
  <c r="Z92" i="1" s="1"/>
  <c r="Y81" i="1"/>
  <c r="Z81" i="1" s="1"/>
  <c r="Y76" i="1"/>
  <c r="Z76" i="1" s="1"/>
  <c r="Y65" i="1"/>
  <c r="Z65" i="1" s="1"/>
  <c r="Y60" i="1"/>
  <c r="Z60" i="1" s="1"/>
  <c r="Y49" i="1"/>
  <c r="Z49" i="1" s="1"/>
  <c r="Y44" i="1"/>
  <c r="Z44" i="1" s="1"/>
  <c r="Y33" i="1"/>
  <c r="Z33" i="1" s="1"/>
  <c r="Y28" i="1"/>
  <c r="Z28" i="1" s="1"/>
  <c r="Y22" i="1"/>
  <c r="Z22" i="1" s="1"/>
  <c r="Y14" i="1"/>
  <c r="Z14" i="1" s="1"/>
  <c r="Y171" i="1"/>
  <c r="Z171" i="1" s="1"/>
  <c r="Y166" i="1"/>
  <c r="Z166" i="1" s="1"/>
  <c r="Y163" i="1"/>
  <c r="Z163" i="1" s="1"/>
  <c r="Y158" i="1"/>
  <c r="Z158" i="1" s="1"/>
  <c r="Y155" i="1"/>
  <c r="Z155" i="1" s="1"/>
  <c r="Y150" i="1"/>
  <c r="Z150" i="1" s="1"/>
  <c r="Y147" i="1"/>
  <c r="Z147" i="1" s="1"/>
  <c r="Y142" i="1"/>
  <c r="Z142" i="1" s="1"/>
  <c r="Y139" i="1"/>
  <c r="Z139" i="1" s="1"/>
  <c r="Y134" i="1"/>
  <c r="Z134" i="1" s="1"/>
  <c r="Y131" i="1"/>
  <c r="Z131" i="1" s="1"/>
  <c r="Y126" i="1"/>
  <c r="Z126" i="1" s="1"/>
  <c r="Y123" i="1"/>
  <c r="Z123" i="1" s="1"/>
  <c r="Y118" i="1"/>
  <c r="Z118" i="1" s="1"/>
  <c r="Y115" i="1"/>
  <c r="Z115" i="1" s="1"/>
  <c r="Y110" i="1"/>
  <c r="Z110" i="1" s="1"/>
  <c r="Y107" i="1"/>
  <c r="Z107" i="1" s="1"/>
  <c r="Y102" i="1"/>
  <c r="Z102" i="1" s="1"/>
  <c r="Y99" i="1"/>
  <c r="Z99" i="1" s="1"/>
  <c r="Y94" i="1"/>
  <c r="Z94" i="1" s="1"/>
  <c r="Y91" i="1"/>
  <c r="Z91" i="1" s="1"/>
  <c r="Y86" i="1"/>
  <c r="Z86" i="1" s="1"/>
  <c r="Y83" i="1"/>
  <c r="Z83" i="1" s="1"/>
  <c r="Y78" i="1"/>
  <c r="Z78" i="1" s="1"/>
  <c r="Y75" i="1"/>
  <c r="Z75" i="1" s="1"/>
  <c r="Y70" i="1"/>
  <c r="Z70" i="1" s="1"/>
  <c r="Y67" i="1"/>
  <c r="Z67" i="1" s="1"/>
  <c r="Y62" i="1"/>
  <c r="Z62" i="1" s="1"/>
  <c r="Y59" i="1"/>
  <c r="Z59" i="1" s="1"/>
  <c r="Y54" i="1"/>
  <c r="Z54" i="1" s="1"/>
  <c r="Y51" i="1"/>
  <c r="Z51" i="1" s="1"/>
  <c r="Y46" i="1"/>
  <c r="Z46" i="1" s="1"/>
  <c r="Y43" i="1"/>
  <c r="Z43" i="1" s="1"/>
  <c r="Y38" i="1"/>
  <c r="Z38" i="1" s="1"/>
  <c r="Y35" i="1"/>
  <c r="Z35" i="1" s="1"/>
  <c r="Y30" i="1"/>
  <c r="Z30" i="1" s="1"/>
  <c r="Y27" i="1"/>
  <c r="Z27" i="1" s="1"/>
  <c r="Y223" i="1"/>
  <c r="Z223" i="1" s="1"/>
  <c r="Y221" i="1"/>
  <c r="Z221" i="1" s="1"/>
  <c r="Y219" i="1"/>
  <c r="Z219" i="1" s="1"/>
  <c r="Y217" i="1"/>
  <c r="Z217" i="1" s="1"/>
  <c r="Y215" i="1"/>
  <c r="Z215" i="1" s="1"/>
  <c r="Y213" i="1"/>
  <c r="Z213" i="1" s="1"/>
  <c r="Y211" i="1"/>
  <c r="Z211" i="1" s="1"/>
  <c r="Y209" i="1"/>
  <c r="Z209" i="1" s="1"/>
  <c r="Y207" i="1"/>
  <c r="Z207" i="1" s="1"/>
  <c r="Y205" i="1"/>
  <c r="Z205" i="1" s="1"/>
  <c r="Y203" i="1"/>
  <c r="Z203" i="1" s="1"/>
  <c r="Y201" i="1"/>
  <c r="Z201" i="1" s="1"/>
  <c r="Y199" i="1"/>
  <c r="Z199" i="1" s="1"/>
  <c r="Y197" i="1"/>
  <c r="Z197" i="1" s="1"/>
  <c r="Y195" i="1"/>
  <c r="Z195" i="1" s="1"/>
  <c r="Y193" i="1"/>
  <c r="Z193" i="1" s="1"/>
  <c r="Y191" i="1"/>
  <c r="Z191" i="1" s="1"/>
  <c r="Y189" i="1"/>
  <c r="Z189" i="1" s="1"/>
  <c r="Y187" i="1"/>
  <c r="Z187" i="1" s="1"/>
  <c r="Y185" i="1"/>
  <c r="Z185" i="1" s="1"/>
  <c r="Y183" i="1"/>
  <c r="Z183" i="1" s="1"/>
  <c r="Y181" i="1"/>
  <c r="Z181" i="1" s="1"/>
  <c r="Y179" i="1"/>
  <c r="Z179" i="1" s="1"/>
  <c r="Y177" i="1"/>
  <c r="Z177" i="1" s="1"/>
  <c r="Y175" i="1"/>
  <c r="Z175" i="1" s="1"/>
  <c r="Y173" i="1"/>
  <c r="Z173" i="1" s="1"/>
  <c r="Y168" i="1"/>
  <c r="Z168" i="1" s="1"/>
  <c r="Y165" i="1"/>
  <c r="Z165" i="1" s="1"/>
  <c r="Y160" i="1"/>
  <c r="Z160" i="1" s="1"/>
  <c r="Y157" i="1"/>
  <c r="Z157" i="1" s="1"/>
  <c r="Y152" i="1"/>
  <c r="Z152" i="1" s="1"/>
  <c r="Y149" i="1"/>
  <c r="Z149" i="1" s="1"/>
  <c r="Y144" i="1"/>
  <c r="Z144" i="1" s="1"/>
  <c r="Y141" i="1"/>
  <c r="Z141" i="1" s="1"/>
  <c r="Y136" i="1"/>
  <c r="Z136" i="1" s="1"/>
  <c r="Y133" i="1"/>
  <c r="Z133" i="1" s="1"/>
  <c r="Y128" i="1"/>
  <c r="Z128" i="1" s="1"/>
  <c r="Y125" i="1"/>
  <c r="Z125" i="1" s="1"/>
  <c r="Y120" i="1"/>
  <c r="Z120" i="1" s="1"/>
  <c r="Y117" i="1"/>
  <c r="Z117" i="1" s="1"/>
  <c r="Y112" i="1"/>
  <c r="Z112" i="1" s="1"/>
  <c r="Y109" i="1"/>
  <c r="Z109" i="1" s="1"/>
  <c r="Y104" i="1"/>
  <c r="Z104" i="1" s="1"/>
  <c r="Y101" i="1"/>
  <c r="Z101" i="1" s="1"/>
  <c r="Y96" i="1"/>
  <c r="Z96" i="1" s="1"/>
  <c r="Y93" i="1"/>
  <c r="Z93" i="1" s="1"/>
  <c r="Y88" i="1"/>
  <c r="Z88" i="1" s="1"/>
  <c r="Y85" i="1"/>
  <c r="Z85" i="1" s="1"/>
  <c r="Y80" i="1"/>
  <c r="Z80" i="1" s="1"/>
  <c r="Y77" i="1"/>
  <c r="Z77" i="1" s="1"/>
  <c r="Y72" i="1"/>
  <c r="Z72" i="1" s="1"/>
  <c r="Y69" i="1"/>
  <c r="Z69" i="1" s="1"/>
  <c r="Y64" i="1"/>
  <c r="Z64" i="1" s="1"/>
  <c r="Y61" i="1"/>
  <c r="Z61" i="1" s="1"/>
  <c r="Y56" i="1"/>
  <c r="Z56" i="1" s="1"/>
  <c r="Y53" i="1"/>
  <c r="Z53" i="1" s="1"/>
  <c r="Y48" i="1"/>
  <c r="Z48" i="1" s="1"/>
  <c r="Y45" i="1"/>
  <c r="Z45" i="1" s="1"/>
  <c r="Y40" i="1"/>
  <c r="Z40" i="1" s="1"/>
  <c r="Y37" i="1"/>
  <c r="Z37" i="1" s="1"/>
  <c r="Y32" i="1"/>
  <c r="Z32" i="1" s="1"/>
  <c r="Y29" i="1"/>
  <c r="Z29" i="1" s="1"/>
  <c r="Y24" i="1"/>
  <c r="Z24" i="1" s="1"/>
  <c r="Y20" i="1"/>
  <c r="Z20" i="1" s="1"/>
  <c r="Y16" i="1"/>
  <c r="Z16" i="1" s="1"/>
  <c r="Y12" i="1"/>
  <c r="Z12" i="1" s="1"/>
  <c r="Y8" i="1"/>
  <c r="Z8" i="1" s="1"/>
  <c r="Y4" i="1"/>
  <c r="Z4" i="1" s="1"/>
  <c r="Y23" i="1"/>
  <c r="Z23" i="1" s="1"/>
  <c r="Y21" i="1"/>
  <c r="Z21" i="1" s="1"/>
  <c r="Y19" i="1"/>
  <c r="Z19" i="1" s="1"/>
  <c r="Y17" i="1"/>
  <c r="Z17" i="1" s="1"/>
  <c r="Y15" i="1"/>
  <c r="Z15" i="1" s="1"/>
  <c r="Y13" i="1"/>
  <c r="Z13" i="1" s="1"/>
  <c r="Y11" i="1"/>
  <c r="Z11" i="1" s="1"/>
  <c r="Y9" i="1"/>
  <c r="Z9" i="1" s="1"/>
  <c r="Y7" i="1"/>
  <c r="Z7" i="1" s="1"/>
  <c r="Y5" i="1"/>
  <c r="Z5" i="1" s="1"/>
  <c r="Y3" i="1"/>
  <c r="Z3" i="1" s="1"/>
  <c r="W420" i="1"/>
  <c r="X420" i="1" s="1"/>
  <c r="W418" i="1"/>
  <c r="X418" i="1" s="1"/>
  <c r="W416" i="1"/>
  <c r="X416" i="1" s="1"/>
  <c r="W414" i="1"/>
  <c r="X414" i="1" s="1"/>
  <c r="W412" i="1"/>
  <c r="X412" i="1" s="1"/>
  <c r="W410" i="1"/>
  <c r="X410" i="1" s="1"/>
  <c r="W408" i="1"/>
  <c r="X408" i="1" s="1"/>
  <c r="W406" i="1"/>
  <c r="X406" i="1" s="1"/>
  <c r="W404" i="1"/>
  <c r="X404" i="1" s="1"/>
  <c r="W402" i="1"/>
  <c r="X402" i="1" s="1"/>
  <c r="W400" i="1"/>
  <c r="X400" i="1" s="1"/>
  <c r="W398" i="1"/>
  <c r="X398" i="1" s="1"/>
  <c r="W396" i="1"/>
  <c r="X396" i="1" s="1"/>
  <c r="W394" i="1"/>
  <c r="X394" i="1" s="1"/>
  <c r="W392" i="1"/>
  <c r="X392" i="1" s="1"/>
  <c r="W390" i="1"/>
  <c r="X390" i="1" s="1"/>
  <c r="W388" i="1"/>
  <c r="X388" i="1" s="1"/>
  <c r="W386" i="1"/>
  <c r="X386" i="1" s="1"/>
  <c r="W384" i="1"/>
  <c r="X384" i="1" s="1"/>
  <c r="W382" i="1"/>
  <c r="X382" i="1" s="1"/>
  <c r="W380" i="1"/>
  <c r="X380" i="1" s="1"/>
  <c r="W378" i="1"/>
  <c r="X378" i="1" s="1"/>
  <c r="W376" i="1"/>
  <c r="X376" i="1" s="1"/>
  <c r="W374" i="1"/>
  <c r="X374" i="1" s="1"/>
  <c r="W372" i="1"/>
  <c r="X372" i="1" s="1"/>
  <c r="W370" i="1"/>
  <c r="X370" i="1" s="1"/>
  <c r="W368" i="1"/>
  <c r="X368" i="1" s="1"/>
  <c r="W366" i="1"/>
  <c r="X366" i="1" s="1"/>
  <c r="W364" i="1"/>
  <c r="X364" i="1" s="1"/>
  <c r="W362" i="1"/>
  <c r="X362" i="1" s="1"/>
  <c r="W360" i="1"/>
  <c r="X360" i="1" s="1"/>
  <c r="W358" i="1"/>
  <c r="X358" i="1" s="1"/>
  <c r="W356" i="1"/>
  <c r="X356" i="1" s="1"/>
  <c r="W354" i="1"/>
  <c r="X354" i="1" s="1"/>
  <c r="W421" i="1"/>
  <c r="X421" i="1" s="1"/>
  <c r="W419" i="1"/>
  <c r="X419" i="1" s="1"/>
  <c r="W417" i="1"/>
  <c r="X417" i="1" s="1"/>
  <c r="W415" i="1"/>
  <c r="X415" i="1" s="1"/>
  <c r="W413" i="1"/>
  <c r="X413" i="1" s="1"/>
  <c r="W411" i="1"/>
  <c r="X411" i="1" s="1"/>
  <c r="W409" i="1"/>
  <c r="X409" i="1" s="1"/>
  <c r="W407" i="1"/>
  <c r="X407" i="1" s="1"/>
  <c r="W405" i="1"/>
  <c r="X405" i="1" s="1"/>
  <c r="W403" i="1"/>
  <c r="X403" i="1" s="1"/>
  <c r="W401" i="1"/>
  <c r="X401" i="1" s="1"/>
  <c r="W399" i="1"/>
  <c r="X399" i="1" s="1"/>
  <c r="W397" i="1"/>
  <c r="X397" i="1" s="1"/>
  <c r="W395" i="1"/>
  <c r="X395" i="1" s="1"/>
  <c r="W393" i="1"/>
  <c r="X393" i="1" s="1"/>
  <c r="W391" i="1"/>
  <c r="X391" i="1" s="1"/>
  <c r="W389" i="1"/>
  <c r="X389" i="1" s="1"/>
  <c r="W387" i="1"/>
  <c r="X387" i="1" s="1"/>
  <c r="W385" i="1"/>
  <c r="X385" i="1" s="1"/>
  <c r="W383" i="1"/>
  <c r="X383" i="1" s="1"/>
  <c r="W381" i="1"/>
  <c r="X381" i="1" s="1"/>
  <c r="W379" i="1"/>
  <c r="X379" i="1" s="1"/>
  <c r="W377" i="1"/>
  <c r="X377" i="1" s="1"/>
  <c r="W375" i="1"/>
  <c r="X375" i="1" s="1"/>
  <c r="W373" i="1"/>
  <c r="X373" i="1" s="1"/>
  <c r="W371" i="1"/>
  <c r="X371" i="1" s="1"/>
  <c r="W369" i="1"/>
  <c r="X369" i="1" s="1"/>
  <c r="W367" i="1"/>
  <c r="X367" i="1" s="1"/>
  <c r="W365" i="1"/>
  <c r="X365" i="1" s="1"/>
  <c r="W363" i="1"/>
  <c r="X363" i="1" s="1"/>
  <c r="W361" i="1"/>
  <c r="X361" i="1" s="1"/>
  <c r="W359" i="1"/>
  <c r="X359" i="1" s="1"/>
  <c r="W357" i="1"/>
  <c r="X357" i="1" s="1"/>
  <c r="W355" i="1"/>
  <c r="X355" i="1" s="1"/>
  <c r="W353" i="1"/>
  <c r="X353" i="1" s="1"/>
  <c r="W265" i="1"/>
  <c r="X265" i="1" s="1"/>
  <c r="W4" i="1"/>
  <c r="X4" i="1" s="1"/>
  <c r="W5" i="1"/>
  <c r="X5" i="1" s="1"/>
  <c r="W3" i="1"/>
  <c r="X3" i="1" s="1"/>
  <c r="W238" i="1"/>
  <c r="X238" i="1" s="1"/>
  <c r="W262" i="1"/>
  <c r="X262" i="1" s="1"/>
  <c r="W254" i="1"/>
  <c r="X254" i="1" s="1"/>
  <c r="W246" i="1"/>
  <c r="X246" i="1" s="1"/>
  <c r="W230" i="1"/>
  <c r="X230" i="1" s="1"/>
  <c r="W222" i="1"/>
  <c r="X222" i="1" s="1"/>
  <c r="W214" i="1"/>
  <c r="X214" i="1" s="1"/>
  <c r="W206" i="1"/>
  <c r="X206" i="1" s="1"/>
  <c r="W190" i="1"/>
  <c r="X190" i="1" s="1"/>
  <c r="W174" i="1"/>
  <c r="X174" i="1" s="1"/>
  <c r="W153" i="1"/>
  <c r="X153" i="1" s="1"/>
  <c r="W113" i="1"/>
  <c r="X113" i="1" s="1"/>
  <c r="W349" i="1"/>
  <c r="X349" i="1" s="1"/>
  <c r="W345" i="1"/>
  <c r="X345" i="1" s="1"/>
  <c r="W341" i="1"/>
  <c r="X341" i="1" s="1"/>
  <c r="W337" i="1"/>
  <c r="X337" i="1" s="1"/>
  <c r="W333" i="1"/>
  <c r="X333" i="1" s="1"/>
  <c r="W329" i="1"/>
  <c r="X329" i="1" s="1"/>
  <c r="W325" i="1"/>
  <c r="X325" i="1" s="1"/>
  <c r="W321" i="1"/>
  <c r="X321" i="1" s="1"/>
  <c r="W317" i="1"/>
  <c r="X317" i="1" s="1"/>
  <c r="W313" i="1"/>
  <c r="X313" i="1" s="1"/>
  <c r="W309" i="1"/>
  <c r="X309" i="1" s="1"/>
  <c r="W305" i="1"/>
  <c r="X305" i="1" s="1"/>
  <c r="W301" i="1"/>
  <c r="X301" i="1" s="1"/>
  <c r="W297" i="1"/>
  <c r="X297" i="1" s="1"/>
  <c r="W293" i="1"/>
  <c r="X293" i="1" s="1"/>
  <c r="W289" i="1"/>
  <c r="X289" i="1" s="1"/>
  <c r="W285" i="1"/>
  <c r="X285" i="1" s="1"/>
  <c r="W281" i="1"/>
  <c r="X281" i="1" s="1"/>
  <c r="W277" i="1"/>
  <c r="X277" i="1" s="1"/>
  <c r="W273" i="1"/>
  <c r="X273" i="1" s="1"/>
  <c r="W269" i="1"/>
  <c r="X269" i="1" s="1"/>
  <c r="W200" i="1"/>
  <c r="X200" i="1" s="1"/>
  <c r="W184" i="1"/>
  <c r="X184" i="1" s="1"/>
  <c r="W145" i="1"/>
  <c r="X145" i="1" s="1"/>
  <c r="W258" i="1"/>
  <c r="X258" i="1" s="1"/>
  <c r="W250" i="1"/>
  <c r="X250" i="1" s="1"/>
  <c r="W242" i="1"/>
  <c r="X242" i="1" s="1"/>
  <c r="W234" i="1"/>
  <c r="X234" i="1" s="1"/>
  <c r="W226" i="1"/>
  <c r="X226" i="1" s="1"/>
  <c r="W218" i="1"/>
  <c r="X218" i="1" s="1"/>
  <c r="W210" i="1"/>
  <c r="X210" i="1" s="1"/>
  <c r="W198" i="1"/>
  <c r="X198" i="1" s="1"/>
  <c r="W182" i="1"/>
  <c r="X182" i="1" s="1"/>
  <c r="W164" i="1"/>
  <c r="X164" i="1" s="1"/>
  <c r="W92" i="1"/>
  <c r="X92" i="1" s="1"/>
  <c r="W351" i="1"/>
  <c r="X351" i="1" s="1"/>
  <c r="W347" i="1"/>
  <c r="X347" i="1" s="1"/>
  <c r="W343" i="1"/>
  <c r="X343" i="1" s="1"/>
  <c r="W339" i="1"/>
  <c r="X339" i="1" s="1"/>
  <c r="W335" i="1"/>
  <c r="X335" i="1" s="1"/>
  <c r="W331" i="1"/>
  <c r="X331" i="1" s="1"/>
  <c r="W327" i="1"/>
  <c r="X327" i="1" s="1"/>
  <c r="W323" i="1"/>
  <c r="X323" i="1" s="1"/>
  <c r="W319" i="1"/>
  <c r="X319" i="1" s="1"/>
  <c r="W315" i="1"/>
  <c r="X315" i="1" s="1"/>
  <c r="W311" i="1"/>
  <c r="X311" i="1" s="1"/>
  <c r="W307" i="1"/>
  <c r="X307" i="1" s="1"/>
  <c r="W303" i="1"/>
  <c r="X303" i="1" s="1"/>
  <c r="W299" i="1"/>
  <c r="X299" i="1" s="1"/>
  <c r="W295" i="1"/>
  <c r="X295" i="1" s="1"/>
  <c r="W291" i="1"/>
  <c r="X291" i="1" s="1"/>
  <c r="W287" i="1"/>
  <c r="X287" i="1" s="1"/>
  <c r="W283" i="1"/>
  <c r="X283" i="1" s="1"/>
  <c r="W279" i="1"/>
  <c r="X279" i="1" s="1"/>
  <c r="W275" i="1"/>
  <c r="X275" i="1" s="1"/>
  <c r="W271" i="1"/>
  <c r="X271" i="1" s="1"/>
  <c r="W267" i="1"/>
  <c r="X267" i="1" s="1"/>
  <c r="W192" i="1"/>
  <c r="X192" i="1" s="1"/>
  <c r="W176" i="1"/>
  <c r="X176" i="1" s="1"/>
  <c r="W156" i="1"/>
  <c r="X156" i="1" s="1"/>
  <c r="W124" i="1"/>
  <c r="X124" i="1" s="1"/>
  <c r="W81" i="1"/>
  <c r="X81" i="1" s="1"/>
  <c r="W132" i="1"/>
  <c r="X132" i="1" s="1"/>
  <c r="W100" i="1"/>
  <c r="X100" i="1" s="1"/>
  <c r="W352" i="1"/>
  <c r="X352" i="1" s="1"/>
  <c r="W348" i="1"/>
  <c r="X348" i="1" s="1"/>
  <c r="W344" i="1"/>
  <c r="X344" i="1" s="1"/>
  <c r="W340" i="1"/>
  <c r="X340" i="1" s="1"/>
  <c r="W336" i="1"/>
  <c r="X336" i="1" s="1"/>
  <c r="W332" i="1"/>
  <c r="X332" i="1" s="1"/>
  <c r="W328" i="1"/>
  <c r="X328" i="1" s="1"/>
  <c r="W324" i="1"/>
  <c r="X324" i="1" s="1"/>
  <c r="W318" i="1"/>
  <c r="X318" i="1" s="1"/>
  <c r="W314" i="1"/>
  <c r="X314" i="1" s="1"/>
  <c r="W310" i="1"/>
  <c r="X310" i="1" s="1"/>
  <c r="W306" i="1"/>
  <c r="X306" i="1" s="1"/>
  <c r="W304" i="1"/>
  <c r="X304" i="1" s="1"/>
  <c r="W300" i="1"/>
  <c r="X300" i="1" s="1"/>
  <c r="W298" i="1"/>
  <c r="X298" i="1" s="1"/>
  <c r="W296" i="1"/>
  <c r="X296" i="1" s="1"/>
  <c r="W294" i="1"/>
  <c r="X294" i="1" s="1"/>
  <c r="W292" i="1"/>
  <c r="X292" i="1" s="1"/>
  <c r="W290" i="1"/>
  <c r="X290" i="1" s="1"/>
  <c r="W288" i="1"/>
  <c r="X288" i="1" s="1"/>
  <c r="W286" i="1"/>
  <c r="X286" i="1" s="1"/>
  <c r="W284" i="1"/>
  <c r="X284" i="1" s="1"/>
  <c r="W282" i="1"/>
  <c r="X282" i="1" s="1"/>
  <c r="W280" i="1"/>
  <c r="X280" i="1" s="1"/>
  <c r="W278" i="1"/>
  <c r="X278" i="1" s="1"/>
  <c r="W276" i="1"/>
  <c r="X276" i="1" s="1"/>
  <c r="W274" i="1"/>
  <c r="X274" i="1" s="1"/>
  <c r="W272" i="1"/>
  <c r="X272" i="1" s="1"/>
  <c r="W270" i="1"/>
  <c r="X270" i="1" s="1"/>
  <c r="W268" i="1"/>
  <c r="X268" i="1" s="1"/>
  <c r="W266" i="1"/>
  <c r="X266" i="1" s="1"/>
  <c r="W264" i="1"/>
  <c r="X264" i="1" s="1"/>
  <c r="W204" i="1"/>
  <c r="X204" i="1" s="1"/>
  <c r="W196" i="1"/>
  <c r="X196" i="1" s="1"/>
  <c r="W188" i="1"/>
  <c r="X188" i="1" s="1"/>
  <c r="W180" i="1"/>
  <c r="X180" i="1" s="1"/>
  <c r="W172" i="1"/>
  <c r="X172" i="1" s="1"/>
  <c r="W161" i="1"/>
  <c r="X161" i="1" s="1"/>
  <c r="W140" i="1"/>
  <c r="X140" i="1" s="1"/>
  <c r="W129" i="1"/>
  <c r="X129" i="1" s="1"/>
  <c r="W108" i="1"/>
  <c r="X108" i="1" s="1"/>
  <c r="W97" i="1"/>
  <c r="X97" i="1" s="1"/>
  <c r="W121" i="1"/>
  <c r="X121" i="1" s="1"/>
  <c r="W89" i="1"/>
  <c r="X89" i="1" s="1"/>
  <c r="W350" i="1"/>
  <c r="X350" i="1" s="1"/>
  <c r="W346" i="1"/>
  <c r="X346" i="1" s="1"/>
  <c r="W342" i="1"/>
  <c r="X342" i="1" s="1"/>
  <c r="W338" i="1"/>
  <c r="X338" i="1" s="1"/>
  <c r="W334" i="1"/>
  <c r="X334" i="1" s="1"/>
  <c r="W330" i="1"/>
  <c r="X330" i="1" s="1"/>
  <c r="W326" i="1"/>
  <c r="X326" i="1" s="1"/>
  <c r="W322" i="1"/>
  <c r="X322" i="1" s="1"/>
  <c r="W320" i="1"/>
  <c r="X320" i="1" s="1"/>
  <c r="W316" i="1"/>
  <c r="X316" i="1" s="1"/>
  <c r="W312" i="1"/>
  <c r="X312" i="1" s="1"/>
  <c r="W308" i="1"/>
  <c r="X308" i="1" s="1"/>
  <c r="W302" i="1"/>
  <c r="X302" i="1" s="1"/>
  <c r="W260" i="1"/>
  <c r="X260" i="1" s="1"/>
  <c r="W256" i="1"/>
  <c r="X256" i="1" s="1"/>
  <c r="W252" i="1"/>
  <c r="X252" i="1" s="1"/>
  <c r="W248" i="1"/>
  <c r="X248" i="1" s="1"/>
  <c r="W244" i="1"/>
  <c r="X244" i="1" s="1"/>
  <c r="W240" i="1"/>
  <c r="X240" i="1" s="1"/>
  <c r="W236" i="1"/>
  <c r="X236" i="1" s="1"/>
  <c r="W232" i="1"/>
  <c r="X232" i="1" s="1"/>
  <c r="W228" i="1"/>
  <c r="X228" i="1" s="1"/>
  <c r="W224" i="1"/>
  <c r="X224" i="1" s="1"/>
  <c r="W220" i="1"/>
  <c r="X220" i="1" s="1"/>
  <c r="W216" i="1"/>
  <c r="X216" i="1" s="1"/>
  <c r="W212" i="1"/>
  <c r="X212" i="1" s="1"/>
  <c r="W208" i="1"/>
  <c r="X208" i="1" s="1"/>
  <c r="W202" i="1"/>
  <c r="X202" i="1" s="1"/>
  <c r="W194" i="1"/>
  <c r="X194" i="1" s="1"/>
  <c r="W186" i="1"/>
  <c r="X186" i="1" s="1"/>
  <c r="W178" i="1"/>
  <c r="X178" i="1" s="1"/>
  <c r="W169" i="1"/>
  <c r="X169" i="1" s="1"/>
  <c r="W148" i="1"/>
  <c r="X148" i="1" s="1"/>
  <c r="W137" i="1"/>
  <c r="X137" i="1" s="1"/>
  <c r="W116" i="1"/>
  <c r="X116" i="1" s="1"/>
  <c r="W105" i="1"/>
  <c r="X105" i="1" s="1"/>
  <c r="W84" i="1"/>
  <c r="X84" i="1" s="1"/>
  <c r="W171" i="1"/>
  <c r="X171" i="1" s="1"/>
  <c r="W166" i="1"/>
  <c r="X166" i="1" s="1"/>
  <c r="W163" i="1"/>
  <c r="X163" i="1" s="1"/>
  <c r="W158" i="1"/>
  <c r="X158" i="1" s="1"/>
  <c r="W155" i="1"/>
  <c r="X155" i="1" s="1"/>
  <c r="W150" i="1"/>
  <c r="X150" i="1" s="1"/>
  <c r="W147" i="1"/>
  <c r="X147" i="1" s="1"/>
  <c r="W142" i="1"/>
  <c r="X142" i="1" s="1"/>
  <c r="W139" i="1"/>
  <c r="X139" i="1" s="1"/>
  <c r="W134" i="1"/>
  <c r="X134" i="1" s="1"/>
  <c r="W131" i="1"/>
  <c r="X131" i="1" s="1"/>
  <c r="W126" i="1"/>
  <c r="X126" i="1" s="1"/>
  <c r="W123" i="1"/>
  <c r="X123" i="1" s="1"/>
  <c r="W118" i="1"/>
  <c r="X118" i="1" s="1"/>
  <c r="W115" i="1"/>
  <c r="X115" i="1" s="1"/>
  <c r="W110" i="1"/>
  <c r="X110" i="1" s="1"/>
  <c r="W107" i="1"/>
  <c r="X107" i="1" s="1"/>
  <c r="W102" i="1"/>
  <c r="X102" i="1" s="1"/>
  <c r="W99" i="1"/>
  <c r="X99" i="1" s="1"/>
  <c r="W94" i="1"/>
  <c r="X94" i="1" s="1"/>
  <c r="W91" i="1"/>
  <c r="X91" i="1" s="1"/>
  <c r="W86" i="1"/>
  <c r="X86" i="1" s="1"/>
  <c r="W83" i="1"/>
  <c r="X83" i="1" s="1"/>
  <c r="W78" i="1"/>
  <c r="X78" i="1" s="1"/>
  <c r="W74" i="1"/>
  <c r="X74" i="1" s="1"/>
  <c r="W70" i="1"/>
  <c r="X70" i="1" s="1"/>
  <c r="W66" i="1"/>
  <c r="X66" i="1" s="1"/>
  <c r="W62" i="1"/>
  <c r="X62" i="1" s="1"/>
  <c r="W58" i="1"/>
  <c r="X58" i="1" s="1"/>
  <c r="W54" i="1"/>
  <c r="X54" i="1" s="1"/>
  <c r="W50" i="1"/>
  <c r="X50" i="1" s="1"/>
  <c r="W46" i="1"/>
  <c r="X46" i="1" s="1"/>
  <c r="W42" i="1"/>
  <c r="X42" i="1" s="1"/>
  <c r="W38" i="1"/>
  <c r="X38" i="1" s="1"/>
  <c r="W34" i="1"/>
  <c r="X34" i="1" s="1"/>
  <c r="X30" i="1"/>
  <c r="X26" i="1"/>
  <c r="X22" i="1"/>
  <c r="X18" i="1"/>
  <c r="X14" i="1"/>
  <c r="W10" i="1"/>
  <c r="X10" i="1" s="1"/>
  <c r="W6" i="1"/>
  <c r="X6" i="1" s="1"/>
  <c r="W263" i="1"/>
  <c r="X263" i="1" s="1"/>
  <c r="W261" i="1"/>
  <c r="X261" i="1" s="1"/>
  <c r="W259" i="1"/>
  <c r="X259" i="1" s="1"/>
  <c r="W257" i="1"/>
  <c r="X257" i="1" s="1"/>
  <c r="W255" i="1"/>
  <c r="X255" i="1" s="1"/>
  <c r="W253" i="1"/>
  <c r="X253" i="1" s="1"/>
  <c r="W251" i="1"/>
  <c r="X251" i="1" s="1"/>
  <c r="W249" i="1"/>
  <c r="X249" i="1" s="1"/>
  <c r="W247" i="1"/>
  <c r="X247" i="1" s="1"/>
  <c r="W245" i="1"/>
  <c r="X245" i="1" s="1"/>
  <c r="W243" i="1"/>
  <c r="X243" i="1" s="1"/>
  <c r="W241" i="1"/>
  <c r="X241" i="1" s="1"/>
  <c r="W239" i="1"/>
  <c r="X239" i="1" s="1"/>
  <c r="W237" i="1"/>
  <c r="X237" i="1" s="1"/>
  <c r="W235" i="1"/>
  <c r="X235" i="1" s="1"/>
  <c r="W233" i="1"/>
  <c r="X233" i="1" s="1"/>
  <c r="W231" i="1"/>
  <c r="X231" i="1" s="1"/>
  <c r="W229" i="1"/>
  <c r="X229" i="1" s="1"/>
  <c r="W227" i="1"/>
  <c r="X227" i="1" s="1"/>
  <c r="W225" i="1"/>
  <c r="X225" i="1" s="1"/>
  <c r="W223" i="1"/>
  <c r="X223" i="1" s="1"/>
  <c r="W221" i="1"/>
  <c r="X221" i="1" s="1"/>
  <c r="W219" i="1"/>
  <c r="X219" i="1" s="1"/>
  <c r="W217" i="1"/>
  <c r="X217" i="1" s="1"/>
  <c r="W215" i="1"/>
  <c r="X215" i="1" s="1"/>
  <c r="W213" i="1"/>
  <c r="X213" i="1" s="1"/>
  <c r="W211" i="1"/>
  <c r="X211" i="1" s="1"/>
  <c r="W209" i="1"/>
  <c r="X209" i="1" s="1"/>
  <c r="W207" i="1"/>
  <c r="X207" i="1" s="1"/>
  <c r="W205" i="1"/>
  <c r="X205" i="1" s="1"/>
  <c r="W203" i="1"/>
  <c r="X203" i="1" s="1"/>
  <c r="W201" i="1"/>
  <c r="X201" i="1" s="1"/>
  <c r="W199" i="1"/>
  <c r="X199" i="1" s="1"/>
  <c r="W197" i="1"/>
  <c r="X197" i="1" s="1"/>
  <c r="W195" i="1"/>
  <c r="X195" i="1" s="1"/>
  <c r="W193" i="1"/>
  <c r="X193" i="1" s="1"/>
  <c r="W191" i="1"/>
  <c r="X191" i="1" s="1"/>
  <c r="W189" i="1"/>
  <c r="X189" i="1" s="1"/>
  <c r="W187" i="1"/>
  <c r="X187" i="1" s="1"/>
  <c r="W185" i="1"/>
  <c r="X185" i="1" s="1"/>
  <c r="W183" i="1"/>
  <c r="X183" i="1" s="1"/>
  <c r="W181" i="1"/>
  <c r="X181" i="1" s="1"/>
  <c r="W179" i="1"/>
  <c r="X179" i="1" s="1"/>
  <c r="W177" i="1"/>
  <c r="X177" i="1" s="1"/>
  <c r="W175" i="1"/>
  <c r="X175" i="1" s="1"/>
  <c r="W173" i="1"/>
  <c r="X173" i="1" s="1"/>
  <c r="W168" i="1"/>
  <c r="X168" i="1" s="1"/>
  <c r="W165" i="1"/>
  <c r="X165" i="1" s="1"/>
  <c r="W160" i="1"/>
  <c r="X160" i="1" s="1"/>
  <c r="W157" i="1"/>
  <c r="X157" i="1" s="1"/>
  <c r="W152" i="1"/>
  <c r="X152" i="1" s="1"/>
  <c r="W149" i="1"/>
  <c r="X149" i="1" s="1"/>
  <c r="W144" i="1"/>
  <c r="X144" i="1" s="1"/>
  <c r="W141" i="1"/>
  <c r="X141" i="1" s="1"/>
  <c r="W136" i="1"/>
  <c r="X136" i="1" s="1"/>
  <c r="W133" i="1"/>
  <c r="X133" i="1" s="1"/>
  <c r="W128" i="1"/>
  <c r="X128" i="1" s="1"/>
  <c r="W125" i="1"/>
  <c r="X125" i="1" s="1"/>
  <c r="W120" i="1"/>
  <c r="X120" i="1" s="1"/>
  <c r="W117" i="1"/>
  <c r="X117" i="1" s="1"/>
  <c r="W112" i="1"/>
  <c r="X112" i="1" s="1"/>
  <c r="W109" i="1"/>
  <c r="X109" i="1" s="1"/>
  <c r="W104" i="1"/>
  <c r="X104" i="1" s="1"/>
  <c r="W101" i="1"/>
  <c r="X101" i="1" s="1"/>
  <c r="W96" i="1"/>
  <c r="X96" i="1" s="1"/>
  <c r="W93" i="1"/>
  <c r="X93" i="1" s="1"/>
  <c r="W88" i="1"/>
  <c r="X88" i="1" s="1"/>
  <c r="W85" i="1"/>
  <c r="X85" i="1" s="1"/>
  <c r="W80" i="1"/>
  <c r="X80" i="1" s="1"/>
  <c r="W170" i="1"/>
  <c r="X170" i="1" s="1"/>
  <c r="W167" i="1"/>
  <c r="X167" i="1" s="1"/>
  <c r="W162" i="1"/>
  <c r="X162" i="1" s="1"/>
  <c r="W159" i="1"/>
  <c r="X159" i="1" s="1"/>
  <c r="W154" i="1"/>
  <c r="X154" i="1" s="1"/>
  <c r="W151" i="1"/>
  <c r="X151" i="1" s="1"/>
  <c r="W146" i="1"/>
  <c r="X146" i="1" s="1"/>
  <c r="W143" i="1"/>
  <c r="X143" i="1" s="1"/>
  <c r="W138" i="1"/>
  <c r="X138" i="1" s="1"/>
  <c r="W135" i="1"/>
  <c r="X135" i="1" s="1"/>
  <c r="W130" i="1"/>
  <c r="X130" i="1" s="1"/>
  <c r="W127" i="1"/>
  <c r="X127" i="1" s="1"/>
  <c r="W122" i="1"/>
  <c r="X122" i="1" s="1"/>
  <c r="W119" i="1"/>
  <c r="X119" i="1" s="1"/>
  <c r="W114" i="1"/>
  <c r="X114" i="1" s="1"/>
  <c r="W111" i="1"/>
  <c r="X111" i="1" s="1"/>
  <c r="W106" i="1"/>
  <c r="X106" i="1" s="1"/>
  <c r="W103" i="1"/>
  <c r="X103" i="1" s="1"/>
  <c r="W98" i="1"/>
  <c r="X98" i="1" s="1"/>
  <c r="W95" i="1"/>
  <c r="X95" i="1" s="1"/>
  <c r="W90" i="1"/>
  <c r="X90" i="1" s="1"/>
  <c r="W87" i="1"/>
  <c r="X87" i="1" s="1"/>
  <c r="W82" i="1"/>
  <c r="X82" i="1" s="1"/>
  <c r="W79" i="1"/>
  <c r="X79" i="1" s="1"/>
  <c r="W76" i="1"/>
  <c r="X76" i="1" s="1"/>
  <c r="W72" i="1"/>
  <c r="X72" i="1" s="1"/>
  <c r="W68" i="1"/>
  <c r="X68" i="1" s="1"/>
  <c r="W64" i="1"/>
  <c r="X64" i="1" s="1"/>
  <c r="W60" i="1"/>
  <c r="X60" i="1" s="1"/>
  <c r="W56" i="1"/>
  <c r="X56" i="1" s="1"/>
  <c r="W52" i="1"/>
  <c r="X52" i="1" s="1"/>
  <c r="W48" i="1"/>
  <c r="X48" i="1" s="1"/>
  <c r="W44" i="1"/>
  <c r="X44" i="1" s="1"/>
  <c r="W40" i="1"/>
  <c r="X40" i="1" s="1"/>
  <c r="W36" i="1"/>
  <c r="X36" i="1" s="1"/>
  <c r="W32" i="1"/>
  <c r="X32" i="1" s="1"/>
  <c r="X28" i="1"/>
  <c r="X24" i="1"/>
  <c r="X20" i="1"/>
  <c r="X16" i="1"/>
  <c r="W12" i="1"/>
  <c r="X12" i="1" s="1"/>
  <c r="W8" i="1"/>
  <c r="X8" i="1" s="1"/>
  <c r="W77" i="1"/>
  <c r="X77" i="1" s="1"/>
  <c r="W75" i="1"/>
  <c r="X75" i="1" s="1"/>
  <c r="W73" i="1"/>
  <c r="X73" i="1" s="1"/>
  <c r="W71" i="1"/>
  <c r="X71" i="1" s="1"/>
  <c r="W69" i="1"/>
  <c r="X69" i="1" s="1"/>
  <c r="W67" i="1"/>
  <c r="X67" i="1" s="1"/>
  <c r="W65" i="1"/>
  <c r="X65" i="1" s="1"/>
  <c r="W63" i="1"/>
  <c r="X63" i="1" s="1"/>
  <c r="W61" i="1"/>
  <c r="X61" i="1" s="1"/>
  <c r="W59" i="1"/>
  <c r="X59" i="1" s="1"/>
  <c r="W57" i="1"/>
  <c r="X57" i="1" s="1"/>
  <c r="W55" i="1"/>
  <c r="X55" i="1" s="1"/>
  <c r="W53" i="1"/>
  <c r="X53" i="1" s="1"/>
  <c r="X51" i="1"/>
  <c r="W49" i="1"/>
  <c r="X49" i="1" s="1"/>
  <c r="W47" i="1"/>
  <c r="X47" i="1" s="1"/>
  <c r="W45" i="1"/>
  <c r="X45" i="1" s="1"/>
  <c r="W43" i="1"/>
  <c r="X43" i="1" s="1"/>
  <c r="W41" i="1"/>
  <c r="X41" i="1" s="1"/>
  <c r="W39" i="1"/>
  <c r="X39" i="1" s="1"/>
  <c r="W37" i="1"/>
  <c r="X37" i="1" s="1"/>
  <c r="W35" i="1"/>
  <c r="X35" i="1" s="1"/>
  <c r="W33" i="1"/>
  <c r="X33" i="1" s="1"/>
  <c r="W31" i="1"/>
  <c r="X31" i="1" s="1"/>
  <c r="X29" i="1"/>
  <c r="X27" i="1"/>
  <c r="X25" i="1"/>
  <c r="X23" i="1"/>
  <c r="X21" i="1"/>
  <c r="X19" i="1"/>
  <c r="X17" i="1"/>
  <c r="X15" i="1"/>
  <c r="W13" i="1"/>
  <c r="X13" i="1" s="1"/>
  <c r="W11" i="1"/>
  <c r="X11" i="1" s="1"/>
  <c r="W9" i="1"/>
  <c r="X9" i="1" s="1"/>
  <c r="W7" i="1"/>
  <c r="X7" i="1" s="1"/>
  <c r="W2" i="1"/>
  <c r="Z2" i="1"/>
  <c r="V45" i="1" a="1"/>
  <c r="V61" i="1" a="1"/>
  <c r="V77" i="1" a="1"/>
  <c r="V109" i="1" a="1"/>
  <c r="V125" i="1" a="1"/>
  <c r="V141" i="1" a="1"/>
  <c r="V157" i="1" a="1"/>
  <c r="V173" i="1" a="1"/>
  <c r="V189" i="1" a="1"/>
  <c r="V35" i="1" a="1"/>
  <c r="V51" i="1" a="1"/>
  <c r="V67" i="1" a="1"/>
  <c r="V83" i="1" a="1"/>
  <c r="V99" i="1" a="1"/>
  <c r="V115" i="1" a="1"/>
  <c r="V131" i="1" a="1"/>
  <c r="V147" i="1" a="1"/>
  <c r="V163" i="1" a="1"/>
  <c r="V179" i="1" a="1"/>
  <c r="V195" i="1" a="1"/>
  <c r="V207" i="1" a="1"/>
  <c r="V215" i="1" a="1"/>
  <c r="V223" i="1" a="1"/>
  <c r="V231" i="1" a="1"/>
  <c r="V239" i="1" a="1"/>
  <c r="V247" i="1" a="1"/>
  <c r="V41" i="1" a="1"/>
  <c r="V73" i="1" a="1"/>
  <c r="V55" i="1" a="1"/>
  <c r="V87" i="1" a="1"/>
  <c r="V119" i="1" a="1"/>
  <c r="V151" i="1" a="1"/>
  <c r="V183" i="1" a="1"/>
  <c r="V208" i="1" a="1"/>
  <c r="V224" i="1" a="1"/>
  <c r="V240" i="1" a="1"/>
  <c r="V258" i="1" a="1"/>
  <c r="V274" i="1" a="1"/>
  <c r="V282" i="1" a="1"/>
  <c r="V290" i="1" a="1"/>
  <c r="V298" i="1" a="1"/>
  <c r="V306" i="1" a="1"/>
  <c r="V314" i="1" a="1"/>
  <c r="V322" i="1" a="1"/>
  <c r="V330" i="1" a="1"/>
  <c r="V338" i="1" a="1"/>
  <c r="V346" i="1" a="1"/>
  <c r="V354" i="1" a="1"/>
  <c r="V362" i="1" a="1"/>
  <c r="V370" i="1" a="1"/>
  <c r="V378" i="1" a="1"/>
  <c r="V386" i="1" a="1"/>
  <c r="V394" i="1" a="1"/>
  <c r="V402" i="1" a="1"/>
  <c r="V410" i="1" a="1"/>
  <c r="V126" i="1" a="1"/>
  <c r="V175" i="1" a="1"/>
  <c r="V214" i="1" a="1"/>
  <c r="V263" i="1" a="1"/>
  <c r="V287" i="1" a="1"/>
  <c r="V319" i="1" a="1"/>
  <c r="V351" i="1" a="1"/>
  <c r="V383" i="1" a="1"/>
  <c r="V54" i="1" a="1"/>
  <c r="V79" i="1" a="1"/>
  <c r="V142" i="1" a="1"/>
  <c r="V206" i="1" a="1"/>
  <c r="V260" i="1" a="1"/>
  <c r="V299" i="1" a="1"/>
  <c r="V345" i="1" a="1"/>
  <c r="V381" i="1" a="1"/>
  <c r="V418" i="1" a="1"/>
  <c r="V116" i="1" a="1"/>
  <c r="V262" i="1" a="1"/>
  <c r="V329" i="1" a="1"/>
  <c r="V414" i="1" a="1"/>
  <c r="V129" i="1" a="1"/>
  <c r="V254" i="1" a="1"/>
  <c r="V305" i="1" a="1"/>
  <c r="V405" i="1" a="1"/>
  <c r="V180" i="1" a="1"/>
  <c r="V250" i="1" a="1"/>
  <c r="V289" i="1" a="1"/>
  <c r="V325" i="1" a="1"/>
  <c r="V371" i="1" a="1"/>
  <c r="V419" i="1" a="1"/>
  <c r="V145" i="1" a="1"/>
  <c r="V238" i="1" a="1"/>
  <c r="V347" i="1" a="1"/>
  <c r="V417" i="1" a="1"/>
  <c r="V148" i="1" a="1"/>
  <c r="V268" i="1" a="1"/>
  <c r="V341" i="1" a="1"/>
  <c r="V415" i="1" a="1"/>
  <c r="V18" i="1" a="1"/>
  <c r="V26" i="1" a="1"/>
  <c r="V15" i="1" a="1"/>
  <c r="V19" i="1" a="1"/>
  <c r="V27" i="1" a="1"/>
  <c r="T15" i="1" a="1"/>
  <c r="T23" i="1" a="1"/>
  <c r="T31" i="1" a="1"/>
  <c r="T39" i="1" a="1"/>
  <c r="T47" i="1" a="1"/>
  <c r="T55" i="1" a="1"/>
  <c r="T63" i="1" a="1"/>
  <c r="T71" i="1" a="1"/>
  <c r="T79" i="1" a="1"/>
  <c r="T87" i="1" a="1"/>
  <c r="T103" i="1" a="1"/>
  <c r="T111" i="1" a="1"/>
  <c r="T119" i="1" a="1"/>
  <c r="T127" i="1" a="1"/>
  <c r="T135" i="1" a="1"/>
  <c r="T143" i="1" a="1"/>
  <c r="V34" i="1" a="1"/>
  <c r="V50" i="1" a="1"/>
  <c r="V66" i="1" a="1"/>
  <c r="V82" i="1" a="1"/>
  <c r="V98" i="1" a="1"/>
  <c r="V114" i="1" a="1"/>
  <c r="V130" i="1" a="1"/>
  <c r="V146" i="1" a="1"/>
  <c r="V162" i="1" a="1"/>
  <c r="V178" i="1" a="1"/>
  <c r="V194" i="1" a="1"/>
  <c r="V40" i="1" a="1"/>
  <c r="V56" i="1" a="1"/>
  <c r="V72" i="1" a="1"/>
  <c r="V88" i="1" a="1"/>
  <c r="V104" i="1" a="1"/>
  <c r="V120" i="1" a="1"/>
  <c r="V136" i="1" a="1"/>
  <c r="V152" i="1" a="1"/>
  <c r="V168" i="1" a="1"/>
  <c r="V184" i="1" a="1"/>
  <c r="V200" i="1" a="1"/>
  <c r="V209" i="1" a="1"/>
  <c r="V217" i="1" a="1"/>
  <c r="V225" i="1" a="1"/>
  <c r="V233" i="1" a="1"/>
  <c r="V241" i="1" a="1"/>
  <c r="V249" i="1" a="1"/>
  <c r="V46" i="1" a="1"/>
  <c r="V78" i="1" a="1"/>
  <c r="V60" i="1" a="1"/>
  <c r="V124" i="1" a="1"/>
  <c r="V156" i="1" a="1"/>
  <c r="V188" i="1" a="1"/>
  <c r="V212" i="1" a="1"/>
  <c r="V228" i="1" a="1"/>
  <c r="V244" i="1" a="1"/>
  <c r="V261" i="1" a="1"/>
  <c r="V276" i="1" a="1"/>
  <c r="V284" i="1" a="1"/>
  <c r="V292" i="1" a="1"/>
  <c r="V300" i="1" a="1"/>
  <c r="V308" i="1" a="1"/>
  <c r="V316" i="1" a="1"/>
  <c r="V324" i="1" a="1"/>
  <c r="V332" i="1" a="1"/>
  <c r="V340" i="1" a="1"/>
  <c r="V348" i="1" a="1"/>
  <c r="V356" i="1" a="1"/>
  <c r="V364" i="1" a="1"/>
  <c r="V372" i="1" a="1"/>
  <c r="V380" i="1" a="1"/>
  <c r="V388" i="1" a="1"/>
  <c r="V396" i="1" a="1"/>
  <c r="V404" i="1" a="1"/>
  <c r="V412" i="1" a="1"/>
  <c r="V105" i="1" a="1"/>
  <c r="V132" i="1" a="1"/>
  <c r="V182" i="1" a="1"/>
  <c r="V230" i="1" a="1"/>
  <c r="V267" i="1" a="1"/>
  <c r="V295" i="1" a="1"/>
  <c r="V327" i="1" a="1"/>
  <c r="V359" i="1" a="1"/>
  <c r="V391" i="1" a="1"/>
  <c r="V65" i="1" a="1"/>
  <c r="V150" i="1" a="1"/>
  <c r="V234" i="1" a="1"/>
  <c r="V265" i="1" a="1"/>
  <c r="V313" i="1" a="1"/>
  <c r="V349" i="1" a="1"/>
  <c r="V395" i="1" a="1"/>
  <c r="V421" i="1" a="1"/>
  <c r="V137" i="1" a="1"/>
  <c r="V283" i="1" a="1"/>
  <c r="V361" i="1" a="1"/>
  <c r="V49" i="1" a="1"/>
  <c r="V158" i="1" a="1"/>
  <c r="V264" i="1" a="1"/>
  <c r="V337" i="1" a="1"/>
  <c r="V420" i="1" a="1"/>
  <c r="V134" i="1" a="1"/>
  <c r="V191" i="1" a="1"/>
  <c r="V257" i="1" a="1"/>
  <c r="V293" i="1" a="1"/>
  <c r="V339" i="1" a="1"/>
  <c r="V385" i="1" a="1"/>
  <c r="V68" i="1" a="1"/>
  <c r="V164" i="1" a="1"/>
  <c r="V272" i="1" a="1"/>
  <c r="V365" i="1" a="1"/>
  <c r="V70" i="1" a="1"/>
  <c r="V166" i="1" a="1"/>
  <c r="V277" i="1" a="1"/>
  <c r="V355" i="1" a="1"/>
  <c r="V12" i="1" a="1"/>
  <c r="V20" i="1" a="1"/>
  <c r="V28" i="1" a="1"/>
  <c r="V33" i="1" a="1"/>
  <c r="V21" i="1" a="1"/>
  <c r="V29" i="1" a="1"/>
  <c r="T17" i="1" a="1"/>
  <c r="T25" i="1" a="1"/>
  <c r="T33" i="1" a="1"/>
  <c r="T41" i="1" a="1"/>
  <c r="T49" i="1" a="1"/>
  <c r="T57" i="1" a="1"/>
  <c r="T65" i="1" a="1"/>
  <c r="T73" i="1" a="1"/>
  <c r="T81" i="1" a="1"/>
  <c r="T89" i="1" a="1"/>
  <c r="T105" i="1" a="1"/>
  <c r="T113" i="1" a="1"/>
  <c r="T121" i="1" a="1"/>
  <c r="T129" i="1" a="1"/>
  <c r="T137" i="1" a="1"/>
  <c r="T145" i="1" a="1"/>
  <c r="T153" i="1" a="1"/>
  <c r="T161" i="1" a="1"/>
  <c r="T18" i="1" a="1"/>
  <c r="T26" i="1" a="1"/>
  <c r="T34" i="1" a="1"/>
  <c r="T42" i="1" a="1"/>
  <c r="T50" i="1" a="1"/>
  <c r="V37" i="1" a="1"/>
  <c r="V69" i="1" a="1"/>
  <c r="V85" i="1" a="1"/>
  <c r="V101" i="1" a="1"/>
  <c r="V117" i="1" a="1"/>
  <c r="V133" i="1" a="1"/>
  <c r="V149" i="1" a="1"/>
  <c r="V165" i="1" a="1"/>
  <c r="V181" i="1" a="1"/>
  <c r="V197" i="1" a="1"/>
  <c r="V43" i="1" a="1"/>
  <c r="V59" i="1" a="1"/>
  <c r="V75" i="1" a="1"/>
  <c r="V91" i="1" a="1"/>
  <c r="V107" i="1" a="1"/>
  <c r="V123" i="1" a="1"/>
  <c r="V139" i="1" a="1"/>
  <c r="V155" i="1" a="1"/>
  <c r="V171" i="1" a="1"/>
  <c r="V187" i="1" a="1"/>
  <c r="V203" i="1" a="1"/>
  <c r="V211" i="1" a="1"/>
  <c r="V219" i="1" a="1"/>
  <c r="V227" i="1" a="1"/>
  <c r="V235" i="1" a="1"/>
  <c r="V243" i="1" a="1"/>
  <c r="V251" i="1" a="1"/>
  <c r="V57" i="1" a="1"/>
  <c r="V39" i="1" a="1"/>
  <c r="V71" i="1" a="1"/>
  <c r="V103" i="1" a="1"/>
  <c r="V135" i="1" a="1"/>
  <c r="V167" i="1" a="1"/>
  <c r="V199" i="1" a="1"/>
  <c r="V216" i="1" a="1"/>
  <c r="V232" i="1" a="1"/>
  <c r="V248" i="1" a="1"/>
  <c r="V266" i="1" a="1"/>
  <c r="V278" i="1" a="1"/>
  <c r="V286" i="1" a="1"/>
  <c r="V294" i="1" a="1"/>
  <c r="V302" i="1" a="1"/>
  <c r="V310" i="1" a="1"/>
  <c r="V318" i="1" a="1"/>
  <c r="V326" i="1" a="1"/>
  <c r="V334" i="1" a="1"/>
  <c r="V342" i="1" a="1"/>
  <c r="V350" i="1" a="1"/>
  <c r="V358" i="1" a="1"/>
  <c r="V366" i="1" a="1"/>
  <c r="V374" i="1" a="1"/>
  <c r="V382" i="1" a="1"/>
  <c r="V390" i="1" a="1"/>
  <c r="V398" i="1" a="1"/>
  <c r="V406" i="1" a="1"/>
  <c r="V52" i="1" a="1"/>
  <c r="V111" i="1" a="1"/>
  <c r="V161" i="1" a="1"/>
  <c r="V190" i="1" a="1"/>
  <c r="V246" i="1" a="1"/>
  <c r="V270" i="1" a="1"/>
  <c r="V303" i="1" a="1"/>
  <c r="V335" i="1" a="1"/>
  <c r="V367" i="1" a="1"/>
  <c r="V399" i="1" a="1"/>
  <c r="V84" i="1" a="1"/>
  <c r="V102" i="1" a="1"/>
  <c r="V159" i="1" a="1"/>
  <c r="V242" i="1" a="1"/>
  <c r="V281" i="1" a="1"/>
  <c r="V317" i="1" a="1"/>
  <c r="V363" i="1" a="1"/>
  <c r="V409" i="1" a="1"/>
  <c r="V416" i="1" a="1"/>
  <c r="V174" i="1" a="1"/>
  <c r="V297" i="1" a="1"/>
  <c r="V379" i="1" a="1"/>
  <c r="V100" i="1" a="1"/>
  <c r="V177" i="1" a="1"/>
  <c r="V273" i="1" a="1"/>
  <c r="V369" i="1" a="1"/>
  <c r="V38" i="1" a="1"/>
  <c r="V143" i="1" a="1"/>
  <c r="V201" i="1" a="1"/>
  <c r="V271" i="1" a="1"/>
  <c r="V307" i="1" a="1"/>
  <c r="V353" i="1" a="1"/>
  <c r="V389" i="1" a="1"/>
  <c r="V86" i="1" a="1"/>
  <c r="V185" i="1" a="1"/>
  <c r="V301" i="1" a="1"/>
  <c r="V397" i="1" a="1"/>
  <c r="V89" i="1" a="1"/>
  <c r="V226" i="1" a="1"/>
  <c r="V309" i="1" a="1"/>
  <c r="V373" i="1" a="1"/>
  <c r="V14" i="1" a="1"/>
  <c r="V22" i="1" a="1"/>
  <c r="V30" i="1" a="1"/>
  <c r="V13" i="1" a="1"/>
  <c r="V23" i="1" a="1"/>
  <c r="V31" i="1" a="1"/>
  <c r="T19" i="1" a="1"/>
  <c r="T27" i="1" a="1"/>
  <c r="T35" i="1" a="1"/>
  <c r="T43" i="1" a="1"/>
  <c r="T51" i="1" a="1"/>
  <c r="T59" i="1" a="1"/>
  <c r="T67" i="1" a="1"/>
  <c r="T75" i="1" a="1"/>
  <c r="T83" i="1" a="1"/>
  <c r="T91" i="1" a="1"/>
  <c r="T99" i="1" a="1"/>
  <c r="T107" i="1" a="1"/>
  <c r="T115" i="1" a="1"/>
  <c r="T123" i="1" a="1"/>
  <c r="T131" i="1" a="1"/>
  <c r="T139" i="1" a="1"/>
  <c r="V42" i="1" a="1"/>
  <c r="V74" i="1" a="1"/>
  <c r="V90" i="1" a="1"/>
  <c r="V106" i="1" a="1"/>
  <c r="V122" i="1" a="1"/>
  <c r="V138" i="1" a="1"/>
  <c r="V154" i="1" a="1"/>
  <c r="V170" i="1" a="1"/>
  <c r="V186" i="1" a="1"/>
  <c r="V202" i="1" a="1"/>
  <c r="V48" i="1" a="1"/>
  <c r="V64" i="1" a="1"/>
  <c r="V80" i="1" a="1"/>
  <c r="V112" i="1" a="1"/>
  <c r="V128" i="1" a="1"/>
  <c r="V144" i="1" a="1"/>
  <c r="V160" i="1" a="1"/>
  <c r="V176" i="1" a="1"/>
  <c r="V192" i="1" a="1"/>
  <c r="V205" i="1" a="1"/>
  <c r="V213" i="1" a="1"/>
  <c r="V221" i="1" a="1"/>
  <c r="V229" i="1" a="1"/>
  <c r="V237" i="1" a="1"/>
  <c r="V245" i="1" a="1"/>
  <c r="V253" i="1" a="1"/>
  <c r="V62" i="1" a="1"/>
  <c r="V44" i="1" a="1"/>
  <c r="V76" i="1" a="1"/>
  <c r="V108" i="1" a="1"/>
  <c r="V140" i="1" a="1"/>
  <c r="V172" i="1" a="1"/>
  <c r="V204" i="1" a="1"/>
  <c r="V220" i="1" a="1"/>
  <c r="V236" i="1" a="1"/>
  <c r="V252" i="1" a="1"/>
  <c r="V269" i="1" a="1"/>
  <c r="V280" i="1" a="1"/>
  <c r="V288" i="1" a="1"/>
  <c r="V296" i="1" a="1"/>
  <c r="V304" i="1" a="1"/>
  <c r="V312" i="1" a="1"/>
  <c r="V320" i="1" a="1"/>
  <c r="V328" i="1" a="1"/>
  <c r="V336" i="1" a="1"/>
  <c r="V344" i="1" a="1"/>
  <c r="V352" i="1" a="1"/>
  <c r="V360" i="1" a="1"/>
  <c r="V368" i="1" a="1"/>
  <c r="V376" i="1" a="1"/>
  <c r="V384" i="1" a="1"/>
  <c r="V392" i="1" a="1"/>
  <c r="V400" i="1" a="1"/>
  <c r="V408" i="1" a="1"/>
  <c r="V63" i="1" a="1"/>
  <c r="V118" i="1" a="1"/>
  <c r="V169" i="1" a="1"/>
  <c r="V196" i="1" a="1"/>
  <c r="V256" i="1" a="1"/>
  <c r="V279" i="1" a="1"/>
  <c r="V311" i="1" a="1"/>
  <c r="V343" i="1" a="1"/>
  <c r="V375" i="1" a="1"/>
  <c r="V407" i="1" a="1"/>
  <c r="V36" i="1" a="1"/>
  <c r="V113" i="1" a="1"/>
  <c r="V198" i="1" a="1"/>
  <c r="V255" i="1" a="1"/>
  <c r="V285" i="1" a="1"/>
  <c r="V331" i="1" a="1"/>
  <c r="V377" i="1" a="1"/>
  <c r="V413" i="1" a="1"/>
  <c r="V47" i="1" a="1"/>
  <c r="V193" i="1" a="1"/>
  <c r="V315" i="1" a="1"/>
  <c r="V393" i="1" a="1"/>
  <c r="V121" i="1" a="1"/>
  <c r="V218" i="1" a="1"/>
  <c r="V291" i="1" a="1"/>
  <c r="V387" i="1" a="1"/>
  <c r="V81" i="1" a="1"/>
  <c r="V153" i="1" a="1"/>
  <c r="V222" i="1" a="1"/>
  <c r="V275" i="1" a="1"/>
  <c r="V321" i="1" a="1"/>
  <c r="V357" i="1" a="1"/>
  <c r="V403" i="1" a="1"/>
  <c r="V127" i="1" a="1"/>
  <c r="V210" i="1" a="1"/>
  <c r="V333" i="1" a="1"/>
  <c r="V411" i="1" a="1"/>
  <c r="V110" i="1" a="1"/>
  <c r="V259" i="1" a="1"/>
  <c r="V323" i="1" a="1"/>
  <c r="V401" i="1" a="1"/>
  <c r="V16" i="1" a="1"/>
  <c r="V24" i="1" a="1"/>
  <c r="V32" i="1" a="1"/>
  <c r="V17" i="1" a="1"/>
  <c r="V25" i="1" a="1"/>
  <c r="T13" i="1" a="1"/>
  <c r="T21" i="1" a="1"/>
  <c r="T29" i="1" a="1"/>
  <c r="T37" i="1" a="1"/>
  <c r="T45" i="1" a="1"/>
  <c r="T61" i="1" a="1"/>
  <c r="T69" i="1" a="1"/>
  <c r="T77" i="1" a="1"/>
  <c r="T85" i="1" a="1"/>
  <c r="T101" i="1" a="1"/>
  <c r="T109" i="1" a="1"/>
  <c r="T117" i="1" a="1"/>
  <c r="T125" i="1" a="1"/>
  <c r="T133" i="1" a="1"/>
  <c r="T141" i="1" a="1"/>
  <c r="T149" i="1" a="1"/>
  <c r="T157" i="1" a="1"/>
  <c r="T14" i="1" a="1"/>
  <c r="T22" i="1" a="1"/>
  <c r="T30" i="1" a="1"/>
  <c r="T38" i="1" a="1"/>
  <c r="T46" i="1" a="1"/>
  <c r="T54" i="1" a="1"/>
  <c r="T147" i="1" a="1"/>
  <c r="T12" i="1" a="1"/>
  <c r="T28" i="1" a="1"/>
  <c r="T44" i="1" a="1"/>
  <c r="T66" i="1" a="1"/>
  <c r="T74" i="1" a="1"/>
  <c r="T82" i="1" a="1"/>
  <c r="T90" i="1" a="1"/>
  <c r="T98" i="1" a="1"/>
  <c r="T106" i="1" a="1"/>
  <c r="T114" i="1" a="1"/>
  <c r="T122" i="1" a="1"/>
  <c r="T130" i="1" a="1"/>
  <c r="T138" i="1" a="1"/>
  <c r="T146" i="1" a="1"/>
  <c r="T154" i="1" a="1"/>
  <c r="T162" i="1" a="1"/>
  <c r="T172" i="1" a="1"/>
  <c r="T180" i="1" a="1"/>
  <c r="T188" i="1" a="1"/>
  <c r="T196" i="1" a="1"/>
  <c r="T204" i="1" a="1"/>
  <c r="T212" i="1" a="1"/>
  <c r="T220" i="1" a="1"/>
  <c r="T228" i="1" a="1"/>
  <c r="T236" i="1" a="1"/>
  <c r="T244" i="1" a="1"/>
  <c r="T252" i="1" a="1"/>
  <c r="T260" i="1" a="1"/>
  <c r="T268" i="1" a="1"/>
  <c r="T276" i="1" a="1"/>
  <c r="T284" i="1" a="1"/>
  <c r="T292" i="1" a="1"/>
  <c r="T300" i="1" a="1"/>
  <c r="T308" i="1" a="1"/>
  <c r="T316" i="1" a="1"/>
  <c r="T324" i="1" a="1"/>
  <c r="T332" i="1" a="1"/>
  <c r="T340" i="1" a="1"/>
  <c r="T348" i="1" a="1"/>
  <c r="T356" i="1" a="1"/>
  <c r="T301" i="1" a="1"/>
  <c r="T325" i="1" a="1"/>
  <c r="T341" i="1" a="1"/>
  <c r="T357" i="1" a="1"/>
  <c r="T375" i="1" a="1"/>
  <c r="T175" i="1" a="1"/>
  <c r="T183" i="1" a="1"/>
  <c r="T191" i="1" a="1"/>
  <c r="T199" i="1" a="1"/>
  <c r="T207" i="1" a="1"/>
  <c r="T215" i="1" a="1"/>
  <c r="T223" i="1" a="1"/>
  <c r="T231" i="1" a="1"/>
  <c r="T239" i="1" a="1"/>
  <c r="T247" i="1" a="1"/>
  <c r="T255" i="1" a="1"/>
  <c r="T263" i="1" a="1"/>
  <c r="T271" i="1" a="1"/>
  <c r="T279" i="1" a="1"/>
  <c r="T287" i="1" a="1"/>
  <c r="T295" i="1" a="1"/>
  <c r="T305" i="1" a="1"/>
  <c r="T317" i="1" a="1"/>
  <c r="T331" i="1" a="1"/>
  <c r="T347" i="1" a="1"/>
  <c r="T363" i="1" a="1"/>
  <c r="T377" i="1" a="1"/>
  <c r="T387" i="1" a="1"/>
  <c r="T403" i="1" a="1"/>
  <c r="T419" i="1" a="1"/>
  <c r="T417" i="1" a="1"/>
  <c r="T397" i="1" a="1"/>
  <c r="T364" i="1" a="1"/>
  <c r="T382" i="1" a="1"/>
  <c r="T406" i="1" a="1"/>
  <c r="T402" i="1" a="1"/>
  <c r="T383" i="1" a="1"/>
  <c r="T399" i="1" a="1"/>
  <c r="T415" i="1" a="1"/>
  <c r="T389" i="1" a="1"/>
  <c r="S22" i="1" a="1"/>
  <c r="S30" i="1" a="1"/>
  <c r="S38" i="1" a="1"/>
  <c r="S46" i="1" a="1"/>
  <c r="S54" i="1" a="1"/>
  <c r="S62" i="1" a="1"/>
  <c r="S70" i="1" a="1"/>
  <c r="S78" i="1" a="1"/>
  <c r="S86" i="1" a="1"/>
  <c r="S102" i="1" a="1"/>
  <c r="S110" i="1" a="1"/>
  <c r="S118" i="1" a="1"/>
  <c r="S126" i="1" a="1"/>
  <c r="S27" i="1" a="1"/>
  <c r="S35" i="1" a="1"/>
  <c r="S43" i="1" a="1"/>
  <c r="S51" i="1" a="1"/>
  <c r="S59" i="1" a="1"/>
  <c r="S67" i="1" a="1"/>
  <c r="S75" i="1" a="1"/>
  <c r="S83" i="1" a="1"/>
  <c r="S91" i="1" a="1"/>
  <c r="S99" i="1" a="1"/>
  <c r="S107" i="1" a="1"/>
  <c r="S115" i="1" a="1"/>
  <c r="S123" i="1" a="1"/>
  <c r="S131" i="1" a="1"/>
  <c r="S139" i="1" a="1"/>
  <c r="S147" i="1" a="1"/>
  <c r="S155" i="1" a="1"/>
  <c r="S163" i="1" a="1"/>
  <c r="S171" i="1" a="1"/>
  <c r="S179" i="1" a="1"/>
  <c r="S187" i="1" a="1"/>
  <c r="S195" i="1" a="1"/>
  <c r="S203" i="1" a="1"/>
  <c r="S136" i="1" a="1"/>
  <c r="S152" i="1" a="1"/>
  <c r="S168" i="1" a="1"/>
  <c r="S184" i="1" a="1"/>
  <c r="S208" i="1" a="1"/>
  <c r="S216" i="1" a="1"/>
  <c r="S224" i="1" a="1"/>
  <c r="S232" i="1" a="1"/>
  <c r="T151" i="1" a="1"/>
  <c r="T16" i="1" a="1"/>
  <c r="T32" i="1" a="1"/>
  <c r="T48" i="1" a="1"/>
  <c r="T60" i="1" a="1"/>
  <c r="T68" i="1" a="1"/>
  <c r="T76" i="1" a="1"/>
  <c r="T84" i="1" a="1"/>
  <c r="T100" i="1" a="1"/>
  <c r="T108" i="1" a="1"/>
  <c r="T116" i="1" a="1"/>
  <c r="T124" i="1" a="1"/>
  <c r="T132" i="1" a="1"/>
  <c r="T140" i="1" a="1"/>
  <c r="T148" i="1" a="1"/>
  <c r="T156" i="1" a="1"/>
  <c r="T164" i="1" a="1"/>
  <c r="T174" i="1" a="1"/>
  <c r="T182" i="1" a="1"/>
  <c r="T190" i="1" a="1"/>
  <c r="T198" i="1" a="1"/>
  <c r="T206" i="1" a="1"/>
  <c r="T214" i="1" a="1"/>
  <c r="T222" i="1" a="1"/>
  <c r="T230" i="1" a="1"/>
  <c r="T238" i="1" a="1"/>
  <c r="T246" i="1" a="1"/>
  <c r="T254" i="1" a="1"/>
  <c r="T262" i="1" a="1"/>
  <c r="T270" i="1" a="1"/>
  <c r="T278" i="1" a="1"/>
  <c r="T286" i="1" a="1"/>
  <c r="T294" i="1" a="1"/>
  <c r="T302" i="1" a="1"/>
  <c r="T310" i="1" a="1"/>
  <c r="T318" i="1" a="1"/>
  <c r="T326" i="1" a="1"/>
  <c r="T334" i="1" a="1"/>
  <c r="T342" i="1" a="1"/>
  <c r="T350" i="1" a="1"/>
  <c r="T358" i="1" a="1"/>
  <c r="T311" i="1" a="1"/>
  <c r="T329" i="1" a="1"/>
  <c r="T345" i="1" a="1"/>
  <c r="T361" i="1" a="1"/>
  <c r="T165" i="1" a="1"/>
  <c r="T177" i="1" a="1"/>
  <c r="T185" i="1" a="1"/>
  <c r="T193" i="1" a="1"/>
  <c r="T201" i="1" a="1"/>
  <c r="T209" i="1" a="1"/>
  <c r="T217" i="1" a="1"/>
  <c r="T225" i="1" a="1"/>
  <c r="T233" i="1" a="1"/>
  <c r="T241" i="1" a="1"/>
  <c r="T249" i="1" a="1"/>
  <c r="T257" i="1" a="1"/>
  <c r="T265" i="1" a="1"/>
  <c r="T273" i="1" a="1"/>
  <c r="T281" i="1" a="1"/>
  <c r="T289" i="1" a="1"/>
  <c r="T297" i="1" a="1"/>
  <c r="T307" i="1" a="1"/>
  <c r="T319" i="1" a="1"/>
  <c r="T335" i="1" a="1"/>
  <c r="T351" i="1" a="1"/>
  <c r="T367" i="1" a="1"/>
  <c r="T166" i="1" a="1"/>
  <c r="T392" i="1" a="1"/>
  <c r="T408" i="1" a="1"/>
  <c r="T393" i="1" a="1"/>
  <c r="T362" i="1" a="1"/>
  <c r="T405" i="1" a="1"/>
  <c r="T368" i="1" a="1"/>
  <c r="T385" i="1" a="1"/>
  <c r="T414" i="1" a="1"/>
  <c r="T413" i="1" a="1"/>
  <c r="T388" i="1" a="1"/>
  <c r="T404" i="1" a="1"/>
  <c r="T420" i="1" a="1"/>
  <c r="T394" i="1" a="1"/>
  <c r="S24" i="1" a="1"/>
  <c r="S32" i="1" a="1"/>
  <c r="S40" i="1" a="1"/>
  <c r="S48" i="1" a="1"/>
  <c r="S56" i="1" a="1"/>
  <c r="S64" i="1" a="1"/>
  <c r="S72" i="1" a="1"/>
  <c r="S80" i="1" a="1"/>
  <c r="S88" i="1" a="1"/>
  <c r="S104" i="1" a="1"/>
  <c r="S112" i="1" a="1"/>
  <c r="S120" i="1" a="1"/>
  <c r="S128" i="1" a="1"/>
  <c r="S29" i="1" a="1"/>
  <c r="S37" i="1" a="1"/>
  <c r="S45" i="1" a="1"/>
  <c r="S61" i="1" a="1"/>
  <c r="S69" i="1" a="1"/>
  <c r="S77" i="1" a="1"/>
  <c r="S85" i="1" a="1"/>
  <c r="S101" i="1" a="1"/>
  <c r="S109" i="1" a="1"/>
  <c r="S117" i="1" a="1"/>
  <c r="S125" i="1" a="1"/>
  <c r="S133" i="1" a="1"/>
  <c r="S141" i="1" a="1"/>
  <c r="S149" i="1" a="1"/>
  <c r="S157" i="1" a="1"/>
  <c r="T155" i="1" a="1"/>
  <c r="T20" i="1" a="1"/>
  <c r="T36" i="1" a="1"/>
  <c r="T52" i="1" a="1"/>
  <c r="T62" i="1" a="1"/>
  <c r="T70" i="1" a="1"/>
  <c r="T78" i="1" a="1"/>
  <c r="T86" i="1" a="1"/>
  <c r="T102" i="1" a="1"/>
  <c r="T110" i="1" a="1"/>
  <c r="T118" i="1" a="1"/>
  <c r="T126" i="1" a="1"/>
  <c r="T134" i="1" a="1"/>
  <c r="T142" i="1" a="1"/>
  <c r="T150" i="1" a="1"/>
  <c r="T158" i="1" a="1"/>
  <c r="T163" i="1" a="1"/>
  <c r="T176" i="1" a="1"/>
  <c r="T184" i="1" a="1"/>
  <c r="T192" i="1" a="1"/>
  <c r="T200" i="1" a="1"/>
  <c r="T208" i="1" a="1"/>
  <c r="T216" i="1" a="1"/>
  <c r="T224" i="1" a="1"/>
  <c r="T232" i="1" a="1"/>
  <c r="T240" i="1" a="1"/>
  <c r="T248" i="1" a="1"/>
  <c r="T256" i="1" a="1"/>
  <c r="T264" i="1" a="1"/>
  <c r="T272" i="1" a="1"/>
  <c r="T280" i="1" a="1"/>
  <c r="T288" i="1" a="1"/>
  <c r="T296" i="1" a="1"/>
  <c r="T304" i="1" a="1"/>
  <c r="T312" i="1" a="1"/>
  <c r="T320" i="1" a="1"/>
  <c r="T328" i="1" a="1"/>
  <c r="T336" i="1" a="1"/>
  <c r="T344" i="1" a="1"/>
  <c r="T352" i="1" a="1"/>
  <c r="T167" i="1" a="1"/>
  <c r="T315" i="1" a="1"/>
  <c r="T333" i="1" a="1"/>
  <c r="T349" i="1" a="1"/>
  <c r="T365" i="1" a="1"/>
  <c r="T168" i="1" a="1"/>
  <c r="T179" i="1" a="1"/>
  <c r="T187" i="1" a="1"/>
  <c r="T195" i="1" a="1"/>
  <c r="T203" i="1" a="1"/>
  <c r="T211" i="1" a="1"/>
  <c r="T219" i="1" a="1"/>
  <c r="T227" i="1" a="1"/>
  <c r="T235" i="1" a="1"/>
  <c r="T243" i="1" a="1"/>
  <c r="T251" i="1" a="1"/>
  <c r="T259" i="1" a="1"/>
  <c r="T267" i="1" a="1"/>
  <c r="T275" i="1" a="1"/>
  <c r="T283" i="1" a="1"/>
  <c r="T291" i="1" a="1"/>
  <c r="T299" i="1" a="1"/>
  <c r="T309" i="1" a="1"/>
  <c r="T323" i="1" a="1"/>
  <c r="T339" i="1" a="1"/>
  <c r="T355" i="1" a="1"/>
  <c r="T369" i="1" a="1"/>
  <c r="T379" i="1" a="1"/>
  <c r="T395" i="1" a="1"/>
  <c r="T411" i="1" a="1"/>
  <c r="T401" i="1" a="1"/>
  <c r="T378" i="1" a="1"/>
  <c r="T421" i="1" a="1"/>
  <c r="T372" i="1" a="1"/>
  <c r="T390" i="1" a="1"/>
  <c r="T370" i="1" a="1"/>
  <c r="T171" i="1" a="1"/>
  <c r="T391" i="1" a="1"/>
  <c r="T407" i="1" a="1"/>
  <c r="T366" i="1" a="1"/>
  <c r="T410" i="1" a="1"/>
  <c r="S26" i="1" a="1"/>
  <c r="S34" i="1" a="1"/>
  <c r="S42" i="1" a="1"/>
  <c r="S50" i="1" a="1"/>
  <c r="S66" i="1" a="1"/>
  <c r="S74" i="1" a="1"/>
  <c r="S82" i="1" a="1"/>
  <c r="S90" i="1" a="1"/>
  <c r="S98" i="1" a="1"/>
  <c r="S106" i="1" a="1"/>
  <c r="S114" i="1" a="1"/>
  <c r="S122" i="1" a="1"/>
  <c r="S23" i="1" a="1"/>
  <c r="S31" i="1" a="1"/>
  <c r="S39" i="1" a="1"/>
  <c r="S47" i="1" a="1"/>
  <c r="S55" i="1" a="1"/>
  <c r="S63" i="1" a="1"/>
  <c r="S71" i="1" a="1"/>
  <c r="S79" i="1" a="1"/>
  <c r="S87" i="1" a="1"/>
  <c r="S103" i="1" a="1"/>
  <c r="S111" i="1" a="1"/>
  <c r="S119" i="1" a="1"/>
  <c r="S127" i="1" a="1"/>
  <c r="S135" i="1" a="1"/>
  <c r="S143" i="1" a="1"/>
  <c r="S151" i="1" a="1"/>
  <c r="S159" i="1" a="1"/>
  <c r="S167" i="1" a="1"/>
  <c r="S175" i="1" a="1"/>
  <c r="S183" i="1" a="1"/>
  <c r="S191" i="1" a="1"/>
  <c r="S199" i="1" a="1"/>
  <c r="S207" i="1" a="1"/>
  <c r="S144" i="1" a="1"/>
  <c r="S160" i="1" a="1"/>
  <c r="S176" i="1" a="1"/>
  <c r="S192" i="1" a="1"/>
  <c r="S212" i="1" a="1"/>
  <c r="S220" i="1" a="1"/>
  <c r="S228" i="1" a="1"/>
  <c r="S236" i="1" a="1"/>
  <c r="T159" i="1" a="1"/>
  <c r="T64" i="1" a="1"/>
  <c r="T128" i="1" a="1"/>
  <c r="T160" i="1" a="1"/>
  <c r="T194" i="1" a="1"/>
  <c r="T226" i="1" a="1"/>
  <c r="T258" i="1" a="1"/>
  <c r="T290" i="1" a="1"/>
  <c r="T322" i="1" a="1"/>
  <c r="T354" i="1" a="1"/>
  <c r="T353" i="1" a="1"/>
  <c r="T189" i="1" a="1"/>
  <c r="T221" i="1" a="1"/>
  <c r="T253" i="1" a="1"/>
  <c r="T285" i="1" a="1"/>
  <c r="T327" i="1" a="1"/>
  <c r="T384" i="1" a="1"/>
  <c r="T386" i="1" a="1"/>
  <c r="T381" i="1" a="1"/>
  <c r="T374" i="1" a="1"/>
  <c r="S44" i="1" a="1"/>
  <c r="S76" i="1" a="1"/>
  <c r="S108" i="1" a="1"/>
  <c r="S33" i="1" a="1"/>
  <c r="S65" i="1" a="1"/>
  <c r="S129" i="1" a="1"/>
  <c r="S161" i="1" a="1"/>
  <c r="S177" i="1" a="1"/>
  <c r="S193" i="1" a="1"/>
  <c r="S132" i="1" a="1"/>
  <c r="S164" i="1" a="1"/>
  <c r="S200" i="1" a="1"/>
  <c r="S222" i="1" a="1"/>
  <c r="S238" i="1" a="1"/>
  <c r="S246" i="1" a="1"/>
  <c r="S254" i="1" a="1"/>
  <c r="S262" i="1" a="1"/>
  <c r="S270" i="1" a="1"/>
  <c r="S278" i="1" a="1"/>
  <c r="S286" i="1" a="1"/>
  <c r="S294" i="1" a="1"/>
  <c r="S302" i="1" a="1"/>
  <c r="S310" i="1" a="1"/>
  <c r="S318" i="1" a="1"/>
  <c r="S326" i="1" a="1"/>
  <c r="S334" i="1" a="1"/>
  <c r="S342" i="1" a="1"/>
  <c r="S350" i="1" a="1"/>
  <c r="S358" i="1" a="1"/>
  <c r="S366" i="1" a="1"/>
  <c r="S198" i="1" a="1"/>
  <c r="S379" i="1" a="1"/>
  <c r="S395" i="1" a="1"/>
  <c r="S411" i="1" a="1"/>
  <c r="S158" i="1" a="1"/>
  <c r="S219" i="1" a="1"/>
  <c r="S251" i="1" a="1"/>
  <c r="S283" i="1" a="1"/>
  <c r="S315" i="1" a="1"/>
  <c r="S347" i="1" a="1"/>
  <c r="S377" i="1" a="1"/>
  <c r="S398" i="1" a="1"/>
  <c r="S415" i="1" a="1"/>
  <c r="S162" i="1" a="1"/>
  <c r="S209" i="1" a="1"/>
  <c r="S241" i="1" a="1"/>
  <c r="S273" i="1" a="1"/>
  <c r="S305" i="1" a="1"/>
  <c r="S337" i="1" a="1"/>
  <c r="S369" i="1" a="1"/>
  <c r="S388" i="1" a="1"/>
  <c r="S413" i="1" a="1"/>
  <c r="S190" i="1" a="1"/>
  <c r="S227" i="1" a="1"/>
  <c r="S259" i="1" a="1"/>
  <c r="S291" i="1" a="1"/>
  <c r="S323" i="1" a="1"/>
  <c r="S355" i="1" a="1"/>
  <c r="S378" i="1" a="1"/>
  <c r="S396" i="1" a="1"/>
  <c r="S419" i="1" a="1"/>
  <c r="S217" i="1" a="1"/>
  <c r="S255" i="1" a="1"/>
  <c r="S297" i="1" a="1"/>
  <c r="S367" i="1" a="1"/>
  <c r="S404" i="1" a="1"/>
  <c r="S271" i="1" a="1"/>
  <c r="S351" i="1" a="1"/>
  <c r="S417" i="1" a="1"/>
  <c r="S19" i="1" a="1"/>
  <c r="S14" i="1" a="1"/>
  <c r="T250" i="1" a="1"/>
  <c r="T277" i="1" a="1"/>
  <c r="T412" i="1" a="1"/>
  <c r="S100" i="1" a="1"/>
  <c r="S89" i="1" a="1"/>
  <c r="S153" i="1" a="1"/>
  <c r="S205" i="1" a="1"/>
  <c r="S218" i="1" a="1"/>
  <c r="S252" i="1" a="1"/>
  <c r="S276" i="1" a="1"/>
  <c r="S300" i="1" a="1"/>
  <c r="S316" i="1" a="1"/>
  <c r="S340" i="1" a="1"/>
  <c r="S364" i="1" a="1"/>
  <c r="S392" i="1" a="1"/>
  <c r="S213" i="1" a="1"/>
  <c r="S277" i="1" a="1"/>
  <c r="S341" i="1" a="1"/>
  <c r="S412" i="1" a="1"/>
  <c r="S231" i="1" a="1"/>
  <c r="S327" i="1" a="1"/>
  <c r="S406" i="1" a="1"/>
  <c r="S253" i="1" a="1"/>
  <c r="S349" i="1" a="1"/>
  <c r="S414" i="1" a="1"/>
  <c r="S239" i="1" a="1"/>
  <c r="T24" i="1" a="1"/>
  <c r="T72" i="1" a="1"/>
  <c r="T104" i="1" a="1"/>
  <c r="T136" i="1" a="1"/>
  <c r="T169" i="1" a="1"/>
  <c r="T202" i="1" a="1"/>
  <c r="T234" i="1" a="1"/>
  <c r="T266" i="1" a="1"/>
  <c r="T298" i="1" a="1"/>
  <c r="T330" i="1" a="1"/>
  <c r="T170" i="1" a="1"/>
  <c r="T371" i="1" a="1"/>
  <c r="T197" i="1" a="1"/>
  <c r="T229" i="1" a="1"/>
  <c r="T261" i="1" a="1"/>
  <c r="T293" i="1" a="1"/>
  <c r="T343" i="1" a="1"/>
  <c r="T400" i="1" a="1"/>
  <c r="T360" i="1" a="1"/>
  <c r="T380" i="1" a="1"/>
  <c r="T418" i="1" a="1"/>
  <c r="S52" i="1" a="1"/>
  <c r="S84" i="1" a="1"/>
  <c r="S116" i="1" a="1"/>
  <c r="S41" i="1" a="1"/>
  <c r="S73" i="1" a="1"/>
  <c r="S105" i="1" a="1"/>
  <c r="S137" i="1" a="1"/>
  <c r="S165" i="1" a="1"/>
  <c r="S181" i="1" a="1"/>
  <c r="S197" i="1" a="1"/>
  <c r="S140" i="1" a="1"/>
  <c r="S172" i="1" a="1"/>
  <c r="S210" i="1" a="1"/>
  <c r="S226" i="1" a="1"/>
  <c r="S240" i="1" a="1"/>
  <c r="S248" i="1" a="1"/>
  <c r="S256" i="1" a="1"/>
  <c r="S264" i="1" a="1"/>
  <c r="S272" i="1" a="1"/>
  <c r="S280" i="1" a="1"/>
  <c r="S288" i="1" a="1"/>
  <c r="S296" i="1" a="1"/>
  <c r="S304" i="1" a="1"/>
  <c r="S312" i="1" a="1"/>
  <c r="S320" i="1" a="1"/>
  <c r="S328" i="1" a="1"/>
  <c r="S336" i="1" a="1"/>
  <c r="S344" i="1" a="1"/>
  <c r="S352" i="1" a="1"/>
  <c r="S360" i="1" a="1"/>
  <c r="S368" i="1" a="1"/>
  <c r="S206" i="1" a="1"/>
  <c r="S384" i="1" a="1"/>
  <c r="S400" i="1" a="1"/>
  <c r="S134" i="1" a="1"/>
  <c r="S166" i="1" a="1"/>
  <c r="S229" i="1" a="1"/>
  <c r="S261" i="1" a="1"/>
  <c r="S293" i="1" a="1"/>
  <c r="S325" i="1" a="1"/>
  <c r="S357" i="1" a="1"/>
  <c r="S380" i="1" a="1"/>
  <c r="S405" i="1" a="1"/>
  <c r="S418" i="1" a="1"/>
  <c r="S186" i="1" a="1"/>
  <c r="S215" i="1" a="1"/>
  <c r="S247" i="1" a="1"/>
  <c r="S279" i="1" a="1"/>
  <c r="S311" i="1" a="1"/>
  <c r="S343" i="1" a="1"/>
  <c r="S374" i="1" a="1"/>
  <c r="S399" i="1" a="1"/>
  <c r="S416" i="1" a="1"/>
  <c r="S204" i="1" a="1"/>
  <c r="S237" i="1" a="1"/>
  <c r="S269" i="1" a="1"/>
  <c r="S301" i="1" a="1"/>
  <c r="S333" i="1" a="1"/>
  <c r="S365" i="1" a="1"/>
  <c r="S382" i="1" a="1"/>
  <c r="S407" i="1" a="1"/>
  <c r="S138" i="1" a="1"/>
  <c r="S223" i="1" a="1"/>
  <c r="S265" i="1" a="1"/>
  <c r="S319" i="1" a="1"/>
  <c r="S383" i="1" a="1"/>
  <c r="S420" i="1" a="1"/>
  <c r="S303" i="1" a="1"/>
  <c r="S361" i="1" a="1"/>
  <c r="S13" i="1" a="1"/>
  <c r="S21" i="1" a="1"/>
  <c r="S18" i="1" a="1"/>
  <c r="T314" i="1" a="1"/>
  <c r="T313" i="1" a="1"/>
  <c r="T398" i="1" a="1"/>
  <c r="S68" i="1" a="1"/>
  <c r="S57" i="1" a="1"/>
  <c r="S173" i="1" a="1"/>
  <c r="S156" i="1" a="1"/>
  <c r="S234" i="1" a="1"/>
  <c r="S260" i="1" a="1"/>
  <c r="S284" i="1" a="1"/>
  <c r="S308" i="1" a="1"/>
  <c r="S332" i="1" a="1"/>
  <c r="S356" i="1" a="1"/>
  <c r="S376" i="1" a="1"/>
  <c r="S150" i="1" a="1"/>
  <c r="S309" i="1" a="1"/>
  <c r="S373" i="1" a="1"/>
  <c r="S146" i="1" a="1"/>
  <c r="S263" i="1" a="1"/>
  <c r="S359" i="1" a="1"/>
  <c r="S178" i="1" a="1"/>
  <c r="S285" i="1" a="1"/>
  <c r="S375" i="1" a="1"/>
  <c r="S170" i="1" a="1"/>
  <c r="S345" i="1" a="1"/>
  <c r="T40" i="1" a="1"/>
  <c r="T80" i="1" a="1"/>
  <c r="T112" i="1" a="1"/>
  <c r="T144" i="1" a="1"/>
  <c r="T178" i="1" a="1"/>
  <c r="T210" i="1" a="1"/>
  <c r="T242" i="1" a="1"/>
  <c r="T274" i="1" a="1"/>
  <c r="T306" i="1" a="1"/>
  <c r="T338" i="1" a="1"/>
  <c r="T321" i="1" a="1"/>
  <c r="T173" i="1" a="1"/>
  <c r="T205" i="1" a="1"/>
  <c r="T237" i="1" a="1"/>
  <c r="T269" i="1" a="1"/>
  <c r="T303" i="1" a="1"/>
  <c r="T359" i="1" a="1"/>
  <c r="T416" i="1" a="1"/>
  <c r="T376" i="1" a="1"/>
  <c r="T396" i="1" a="1"/>
  <c r="S28" i="1" a="1"/>
  <c r="S60" i="1" a="1"/>
  <c r="S124" i="1" a="1"/>
  <c r="S49" i="1" a="1"/>
  <c r="S81" i="1" a="1"/>
  <c r="S113" i="1" a="1"/>
  <c r="S145" i="1" a="1"/>
  <c r="S169" i="1" a="1"/>
  <c r="S185" i="1" a="1"/>
  <c r="S201" i="1" a="1"/>
  <c r="S148" i="1" a="1"/>
  <c r="S180" i="1" a="1"/>
  <c r="S214" i="1" a="1"/>
  <c r="S230" i="1" a="1"/>
  <c r="S242" i="1" a="1"/>
  <c r="S250" i="1" a="1"/>
  <c r="S258" i="1" a="1"/>
  <c r="S266" i="1" a="1"/>
  <c r="S274" i="1" a="1"/>
  <c r="S282" i="1" a="1"/>
  <c r="S290" i="1" a="1"/>
  <c r="S298" i="1" a="1"/>
  <c r="S306" i="1" a="1"/>
  <c r="S314" i="1" a="1"/>
  <c r="S322" i="1" a="1"/>
  <c r="S330" i="1" a="1"/>
  <c r="S338" i="1" a="1"/>
  <c r="S346" i="1" a="1"/>
  <c r="S354" i="1" a="1"/>
  <c r="S362" i="1" a="1"/>
  <c r="S370" i="1" a="1"/>
  <c r="S194" i="1" a="1"/>
  <c r="S387" i="1" a="1"/>
  <c r="S403" i="1" a="1"/>
  <c r="S142" i="1" a="1"/>
  <c r="S174" i="1" a="1"/>
  <c r="S235" i="1" a="1"/>
  <c r="S267" i="1" a="1"/>
  <c r="S299" i="1" a="1"/>
  <c r="S331" i="1" a="1"/>
  <c r="S363" i="1" a="1"/>
  <c r="S391" i="1" a="1"/>
  <c r="S409" i="1" a="1"/>
  <c r="S130" i="1" a="1"/>
  <c r="S196" i="1" a="1"/>
  <c r="S225" i="1" a="1"/>
  <c r="S257" i="1" a="1"/>
  <c r="S289" i="1" a="1"/>
  <c r="S321" i="1" a="1"/>
  <c r="S353" i="1" a="1"/>
  <c r="S381" i="1" a="1"/>
  <c r="S402" i="1" a="1"/>
  <c r="S421" i="1" a="1"/>
  <c r="S211" i="1" a="1"/>
  <c r="S243" i="1" a="1"/>
  <c r="S275" i="1" a="1"/>
  <c r="S307" i="1" a="1"/>
  <c r="S339" i="1" a="1"/>
  <c r="S371" i="1" a="1"/>
  <c r="S389" i="1" a="1"/>
  <c r="S410" i="1" a="1"/>
  <c r="S154" i="1" a="1"/>
  <c r="S233" i="1" a="1"/>
  <c r="S281" i="1" a="1"/>
  <c r="S329" i="1" a="1"/>
  <c r="S390" i="1" a="1"/>
  <c r="S182" i="1" a="1"/>
  <c r="S313" i="1" a="1"/>
  <c r="S386" i="1" a="1"/>
  <c r="S15" i="1" a="1"/>
  <c r="S16" i="1" a="1"/>
  <c r="S20" i="1" a="1"/>
  <c r="T56" i="1" a="1"/>
  <c r="T88" i="1" a="1"/>
  <c r="T120" i="1" a="1"/>
  <c r="T152" i="1" a="1"/>
  <c r="T186" i="1" a="1"/>
  <c r="T218" i="1" a="1"/>
  <c r="T282" i="1" a="1"/>
  <c r="T346" i="1" a="1"/>
  <c r="T337" i="1" a="1"/>
  <c r="T181" i="1" a="1"/>
  <c r="T213" i="1" a="1"/>
  <c r="T245" i="1" a="1"/>
  <c r="T373" i="1" a="1"/>
  <c r="T409" i="1" a="1"/>
  <c r="S36" i="1" a="1"/>
  <c r="S25" i="1" a="1"/>
  <c r="S121" i="1" a="1"/>
  <c r="S189" i="1" a="1"/>
  <c r="S188" i="1" a="1"/>
  <c r="S244" i="1" a="1"/>
  <c r="S268" i="1" a="1"/>
  <c r="S292" i="1" a="1"/>
  <c r="S324" i="1" a="1"/>
  <c r="S348" i="1" a="1"/>
  <c r="S372" i="1" a="1"/>
  <c r="S408" i="1" a="1"/>
  <c r="S245" i="1" a="1"/>
  <c r="S394" i="1" a="1"/>
  <c r="S202" i="1" a="1"/>
  <c r="S295" i="1" a="1"/>
  <c r="S385" i="1" a="1"/>
  <c r="S221" i="1" a="1"/>
  <c r="S317" i="1" a="1"/>
  <c r="S393" i="1" a="1"/>
  <c r="S287" i="1" a="1"/>
  <c r="S401" i="1" a="1"/>
  <c r="S249" i="1" a="1"/>
  <c r="S335" i="1" a="1"/>
  <c r="S397" i="1" a="1"/>
  <c r="S17" i="1" a="1"/>
  <c r="S12" i="1" a="1"/>
  <c r="V6" i="1" a="1"/>
  <c r="V5" i="1" a="1"/>
  <c r="T9" i="1" a="1"/>
  <c r="T10" i="1" a="1"/>
  <c r="S3" i="1" a="1"/>
  <c r="S11" i="1" a="1"/>
  <c r="S6" i="1" a="1"/>
  <c r="V8" i="1" a="1"/>
  <c r="V7" i="1" a="1"/>
  <c r="T3" i="1" a="1"/>
  <c r="T11" i="1" a="1"/>
  <c r="T4" i="1" a="1"/>
  <c r="S5" i="1" a="1"/>
  <c r="S8" i="1" a="1"/>
  <c r="V10" i="1" a="1"/>
  <c r="V9" i="1" a="1"/>
  <c r="T5" i="1" a="1"/>
  <c r="T6" i="1" a="1"/>
  <c r="S7" i="1" a="1"/>
  <c r="S10" i="1" a="1"/>
  <c r="V4" i="1" a="1"/>
  <c r="V11" i="1" a="1"/>
  <c r="T7" i="1" a="1"/>
  <c r="T8" i="1" a="1"/>
  <c r="S9" i="1" a="1"/>
  <c r="S4" i="1" a="1"/>
  <c r="V3" i="1" a="1"/>
  <c r="V2" i="1" a="1"/>
  <c r="T2" i="1" a="1"/>
  <c r="S2" i="1" a="1"/>
  <c r="V94" i="1" a="1"/>
  <c r="T93" i="1" a="1"/>
  <c r="T94" i="1" a="1"/>
  <c r="T96" i="1" a="1"/>
  <c r="S97" i="1" a="1"/>
  <c r="V95" i="1" a="1"/>
  <c r="S94" i="1" a="1"/>
  <c r="V93" i="1" a="1"/>
  <c r="T97" i="1" a="1"/>
  <c r="V97" i="1" a="1"/>
  <c r="T95" i="1" a="1"/>
  <c r="V96" i="1" a="1"/>
  <c r="S96" i="1" a="1"/>
  <c r="S93" i="1" a="1"/>
  <c r="S95" i="1" a="1"/>
  <c r="V92" i="1" a="1"/>
  <c r="T92" i="1" a="1"/>
  <c r="S92" i="1" a="1"/>
  <c r="V58" i="1" a="1"/>
  <c r="T58" i="1" a="1"/>
  <c r="S58" i="1" a="1"/>
  <c r="S53" i="1" a="1"/>
  <c r="T53" i="1" a="1"/>
  <c r="X2" i="1" l="1"/>
  <c r="V415" i="1"/>
  <c r="V401" i="1"/>
  <c r="V373" i="1"/>
  <c r="V355" i="1"/>
  <c r="V341" i="1"/>
  <c r="V323" i="1"/>
  <c r="V309" i="1"/>
  <c r="V277" i="1"/>
  <c r="V268" i="1"/>
  <c r="V259" i="1"/>
  <c r="V226" i="1"/>
  <c r="V166" i="1"/>
  <c r="V148" i="1"/>
  <c r="V110" i="1"/>
  <c r="V89" i="1"/>
  <c r="V70" i="1"/>
  <c r="V417" i="1"/>
  <c r="V411" i="1"/>
  <c r="V397" i="1"/>
  <c r="V365" i="1"/>
  <c r="V347" i="1"/>
  <c r="V333" i="1"/>
  <c r="V301" i="1"/>
  <c r="V272" i="1"/>
  <c r="V238" i="1"/>
  <c r="V210" i="1"/>
  <c r="V185" i="1"/>
  <c r="V164" i="1"/>
  <c r="V145" i="1"/>
  <c r="V127" i="1"/>
  <c r="V86" i="1"/>
  <c r="V68" i="1"/>
  <c r="V419" i="1"/>
  <c r="V403" i="1"/>
  <c r="V389" i="1"/>
  <c r="V385" i="1"/>
  <c r="V371" i="1"/>
  <c r="V357" i="1"/>
  <c r="V353" i="1"/>
  <c r="V339" i="1"/>
  <c r="V325" i="1"/>
  <c r="V321" i="1"/>
  <c r="V307" i="1"/>
  <c r="V293" i="1"/>
  <c r="V289" i="1"/>
  <c r="V275" i="1"/>
  <c r="V271" i="1"/>
  <c r="V257" i="1"/>
  <c r="V250" i="1"/>
  <c r="V222" i="1"/>
  <c r="V201" i="1"/>
  <c r="V191" i="1"/>
  <c r="V180" i="1"/>
  <c r="V153" i="1"/>
  <c r="V143" i="1"/>
  <c r="V134" i="1"/>
  <c r="V95" i="1"/>
  <c r="V81" i="1"/>
  <c r="V38" i="1"/>
  <c r="V420" i="1"/>
  <c r="V405" i="1"/>
  <c r="V387" i="1"/>
  <c r="V369" i="1"/>
  <c r="V337" i="1"/>
  <c r="V305" i="1"/>
  <c r="V291" i="1"/>
  <c r="V273" i="1"/>
  <c r="V264" i="1"/>
  <c r="V254" i="1"/>
  <c r="V218" i="1"/>
  <c r="V177" i="1"/>
  <c r="V158" i="1"/>
  <c r="V129" i="1"/>
  <c r="V121" i="1"/>
  <c r="V100" i="1"/>
  <c r="V49" i="1"/>
  <c r="V414" i="1"/>
  <c r="V393" i="1"/>
  <c r="V379" i="1"/>
  <c r="V361" i="1"/>
  <c r="V329" i="1"/>
  <c r="V315" i="1"/>
  <c r="V297" i="1"/>
  <c r="V283" i="1"/>
  <c r="V262" i="1"/>
  <c r="V193" i="1"/>
  <c r="V174" i="1"/>
  <c r="V137" i="1"/>
  <c r="V116" i="1"/>
  <c r="V47" i="1"/>
  <c r="V416" i="1"/>
  <c r="V421" i="1"/>
  <c r="V418" i="1"/>
  <c r="V413" i="1"/>
  <c r="V409" i="1"/>
  <c r="V395" i="1"/>
  <c r="V381" i="1"/>
  <c r="V377" i="1"/>
  <c r="V363" i="1"/>
  <c r="V349" i="1"/>
  <c r="V345" i="1"/>
  <c r="V331" i="1"/>
  <c r="V317" i="1"/>
  <c r="V313" i="1"/>
  <c r="V299" i="1"/>
  <c r="V285" i="1"/>
  <c r="V281" i="1"/>
  <c r="V265" i="1"/>
  <c r="V260" i="1"/>
  <c r="V255" i="1"/>
  <c r="V242" i="1"/>
  <c r="V234" i="1"/>
  <c r="V206" i="1"/>
  <c r="V198" i="1"/>
  <c r="V159" i="1"/>
  <c r="V150" i="1"/>
  <c r="V142" i="1"/>
  <c r="V113" i="1"/>
  <c r="V102" i="1"/>
  <c r="V94" i="1"/>
  <c r="V79" i="1"/>
  <c r="V36" i="1"/>
  <c r="V84" i="1"/>
  <c r="V65" i="1"/>
  <c r="V54" i="1"/>
  <c r="V407" i="1"/>
  <c r="V399" i="1"/>
  <c r="V391" i="1"/>
  <c r="V383" i="1"/>
  <c r="V375" i="1"/>
  <c r="V367" i="1"/>
  <c r="V359" i="1"/>
  <c r="V351" i="1"/>
  <c r="V343" i="1"/>
  <c r="V335" i="1"/>
  <c r="V327" i="1"/>
  <c r="V319" i="1"/>
  <c r="V311" i="1"/>
  <c r="V303" i="1"/>
  <c r="V295" i="1"/>
  <c r="V287" i="1"/>
  <c r="V279" i="1"/>
  <c r="V270" i="1"/>
  <c r="V267" i="1"/>
  <c r="V263" i="1"/>
  <c r="V256" i="1"/>
  <c r="V246" i="1"/>
  <c r="V230" i="1"/>
  <c r="V214" i="1"/>
  <c r="V196" i="1"/>
  <c r="V190" i="1"/>
  <c r="V182" i="1"/>
  <c r="V175" i="1"/>
  <c r="V169" i="1"/>
  <c r="V161" i="1"/>
  <c r="V132" i="1"/>
  <c r="V126" i="1"/>
  <c r="V118" i="1"/>
  <c r="V111" i="1"/>
  <c r="V105" i="1"/>
  <c r="V97" i="1"/>
  <c r="V63" i="1"/>
  <c r="V52" i="1"/>
  <c r="V412" i="1"/>
  <c r="V410" i="1"/>
  <c r="V408" i="1"/>
  <c r="V406" i="1"/>
  <c r="V404" i="1"/>
  <c r="V402" i="1"/>
  <c r="V400" i="1"/>
  <c r="V398" i="1"/>
  <c r="V396" i="1"/>
  <c r="V394" i="1"/>
  <c r="V392" i="1"/>
  <c r="V390" i="1"/>
  <c r="V388" i="1"/>
  <c r="V386" i="1"/>
  <c r="V384" i="1"/>
  <c r="V382" i="1"/>
  <c r="V380" i="1"/>
  <c r="V378" i="1"/>
  <c r="V376" i="1"/>
  <c r="V374" i="1"/>
  <c r="V372" i="1"/>
  <c r="V370" i="1"/>
  <c r="V368" i="1"/>
  <c r="V366" i="1"/>
  <c r="V364" i="1"/>
  <c r="V362" i="1"/>
  <c r="V360" i="1"/>
  <c r="V358" i="1"/>
  <c r="V356" i="1"/>
  <c r="V354" i="1"/>
  <c r="V352" i="1"/>
  <c r="V350" i="1"/>
  <c r="V348" i="1"/>
  <c r="V346" i="1"/>
  <c r="V344" i="1"/>
  <c r="V342" i="1"/>
  <c r="V340" i="1"/>
  <c r="V338" i="1"/>
  <c r="V336" i="1"/>
  <c r="V334" i="1"/>
  <c r="V332" i="1"/>
  <c r="V330" i="1"/>
  <c r="V328" i="1"/>
  <c r="V326" i="1"/>
  <c r="V324" i="1"/>
  <c r="V322" i="1"/>
  <c r="V320" i="1"/>
  <c r="V318" i="1"/>
  <c r="V316" i="1"/>
  <c r="V314" i="1"/>
  <c r="V312" i="1"/>
  <c r="V310" i="1"/>
  <c r="V308" i="1"/>
  <c r="V306" i="1"/>
  <c r="V304" i="1"/>
  <c r="V302" i="1"/>
  <c r="V300" i="1"/>
  <c r="V298" i="1"/>
  <c r="V296" i="1"/>
  <c r="V294" i="1"/>
  <c r="V292" i="1"/>
  <c r="V290" i="1"/>
  <c r="V288" i="1"/>
  <c r="V286" i="1"/>
  <c r="V284" i="1"/>
  <c r="V282" i="1"/>
  <c r="V280" i="1"/>
  <c r="V278" i="1"/>
  <c r="V276" i="1"/>
  <c r="V274" i="1"/>
  <c r="V269" i="1"/>
  <c r="V266" i="1"/>
  <c r="V261" i="1"/>
  <c r="V258" i="1"/>
  <c r="V252" i="1"/>
  <c r="V248" i="1"/>
  <c r="V244" i="1"/>
  <c r="V240" i="1"/>
  <c r="V236" i="1"/>
  <c r="V232" i="1"/>
  <c r="V228" i="1"/>
  <c r="V224" i="1"/>
  <c r="V220" i="1"/>
  <c r="V216" i="1"/>
  <c r="V212" i="1"/>
  <c r="V208" i="1"/>
  <c r="V204" i="1"/>
  <c r="V199" i="1"/>
  <c r="V188" i="1"/>
  <c r="V183" i="1"/>
  <c r="V172" i="1"/>
  <c r="V167" i="1"/>
  <c r="V156" i="1"/>
  <c r="V151" i="1"/>
  <c r="V140" i="1"/>
  <c r="V135" i="1"/>
  <c r="V124" i="1"/>
  <c r="V119" i="1"/>
  <c r="V108" i="1"/>
  <c r="V103" i="1"/>
  <c r="V92" i="1"/>
  <c r="V87" i="1"/>
  <c r="V76" i="1"/>
  <c r="V71" i="1"/>
  <c r="V60" i="1"/>
  <c r="V55" i="1"/>
  <c r="V44" i="1"/>
  <c r="V39" i="1"/>
  <c r="V78" i="1"/>
  <c r="V73" i="1"/>
  <c r="V62" i="1"/>
  <c r="V57" i="1"/>
  <c r="V46" i="1"/>
  <c r="V41" i="1"/>
  <c r="V253" i="1"/>
  <c r="V251" i="1"/>
  <c r="V249" i="1"/>
  <c r="V247" i="1"/>
  <c r="V245" i="1"/>
  <c r="V243" i="1"/>
  <c r="V241" i="1"/>
  <c r="V239" i="1"/>
  <c r="V237" i="1"/>
  <c r="V235" i="1"/>
  <c r="V233" i="1"/>
  <c r="V231" i="1"/>
  <c r="V229" i="1"/>
  <c r="V227" i="1"/>
  <c r="V225" i="1"/>
  <c r="V223" i="1"/>
  <c r="V221" i="1"/>
  <c r="V219" i="1"/>
  <c r="V217" i="1"/>
  <c r="V215" i="1"/>
  <c r="V213" i="1"/>
  <c r="V211" i="1"/>
  <c r="V209" i="1"/>
  <c r="V207" i="1"/>
  <c r="V205" i="1"/>
  <c r="V203" i="1"/>
  <c r="V200" i="1"/>
  <c r="V195" i="1"/>
  <c r="V192" i="1"/>
  <c r="V187" i="1"/>
  <c r="V184" i="1"/>
  <c r="V179" i="1"/>
  <c r="V176" i="1"/>
  <c r="V171" i="1"/>
  <c r="V168" i="1"/>
  <c r="V163" i="1"/>
  <c r="V160" i="1"/>
  <c r="V155" i="1"/>
  <c r="V152" i="1"/>
  <c r="V147" i="1"/>
  <c r="V144" i="1"/>
  <c r="V139" i="1"/>
  <c r="V136" i="1"/>
  <c r="V131" i="1"/>
  <c r="V128" i="1"/>
  <c r="V123" i="1"/>
  <c r="V120" i="1"/>
  <c r="V115" i="1"/>
  <c r="V112" i="1"/>
  <c r="V107" i="1"/>
  <c r="V104" i="1"/>
  <c r="V99" i="1"/>
  <c r="V96" i="1"/>
  <c r="V91" i="1"/>
  <c r="V88" i="1"/>
  <c r="V83" i="1"/>
  <c r="V80" i="1"/>
  <c r="V75" i="1"/>
  <c r="V72" i="1"/>
  <c r="V67" i="1"/>
  <c r="V64" i="1"/>
  <c r="V59" i="1"/>
  <c r="V56" i="1"/>
  <c r="V51" i="1"/>
  <c r="V48" i="1"/>
  <c r="V43" i="1"/>
  <c r="V40" i="1"/>
  <c r="V35" i="1"/>
  <c r="V202" i="1"/>
  <c r="V197" i="1"/>
  <c r="V194" i="1"/>
  <c r="V189" i="1"/>
  <c r="V186" i="1"/>
  <c r="V181" i="1"/>
  <c r="V178" i="1"/>
  <c r="V173" i="1"/>
  <c r="V170" i="1"/>
  <c r="V165" i="1"/>
  <c r="V162" i="1"/>
  <c r="V157" i="1"/>
  <c r="V154" i="1"/>
  <c r="V149" i="1"/>
  <c r="V146" i="1"/>
  <c r="V141" i="1"/>
  <c r="V138" i="1"/>
  <c r="V133" i="1"/>
  <c r="V130" i="1"/>
  <c r="V125" i="1"/>
  <c r="V122" i="1"/>
  <c r="V117" i="1"/>
  <c r="V114" i="1"/>
  <c r="V109" i="1"/>
  <c r="V106" i="1"/>
  <c r="V101" i="1"/>
  <c r="V98" i="1"/>
  <c r="V93" i="1"/>
  <c r="V90" i="1"/>
  <c r="V85" i="1"/>
  <c r="V82" i="1"/>
  <c r="V77" i="1"/>
  <c r="V74" i="1"/>
  <c r="V69" i="1"/>
  <c r="V66" i="1"/>
  <c r="V61" i="1"/>
  <c r="V58" i="1"/>
  <c r="V50" i="1"/>
  <c r="V45" i="1"/>
  <c r="V42" i="1"/>
  <c r="V37" i="1"/>
  <c r="V34" i="1"/>
  <c r="V31" i="1"/>
  <c r="V29" i="1"/>
  <c r="V27" i="1"/>
  <c r="V25" i="1"/>
  <c r="V23" i="1"/>
  <c r="V21" i="1"/>
  <c r="V19" i="1"/>
  <c r="V17" i="1"/>
  <c r="V13" i="1"/>
  <c r="V11" i="1"/>
  <c r="V9" i="1"/>
  <c r="V7" i="1"/>
  <c r="V5" i="1"/>
  <c r="V33" i="1"/>
  <c r="V15" i="1"/>
  <c r="V32" i="1"/>
  <c r="V30" i="1"/>
  <c r="V28" i="1"/>
  <c r="V26" i="1"/>
  <c r="V24" i="1"/>
  <c r="V22" i="1"/>
  <c r="V20" i="1"/>
  <c r="V18" i="1"/>
  <c r="V16" i="1"/>
  <c r="V14" i="1"/>
  <c r="V12" i="1"/>
  <c r="V10" i="1"/>
  <c r="V8" i="1"/>
  <c r="V6" i="1"/>
  <c r="V4" i="1"/>
  <c r="T418" i="1"/>
  <c r="T410" i="1"/>
  <c r="T394" i="1"/>
  <c r="T389" i="1"/>
  <c r="T374" i="1"/>
  <c r="T366" i="1"/>
  <c r="T420" i="1"/>
  <c r="T415" i="1"/>
  <c r="T412" i="1"/>
  <c r="T407" i="1"/>
  <c r="T404" i="1"/>
  <c r="T399" i="1"/>
  <c r="T396" i="1"/>
  <c r="T391" i="1"/>
  <c r="T388" i="1"/>
  <c r="T383" i="1"/>
  <c r="T380" i="1"/>
  <c r="T171" i="1"/>
  <c r="T413" i="1"/>
  <c r="T402" i="1"/>
  <c r="T381" i="1"/>
  <c r="T370" i="1"/>
  <c r="T414" i="1"/>
  <c r="T406" i="1"/>
  <c r="T398" i="1"/>
  <c r="T390" i="1"/>
  <c r="T385" i="1"/>
  <c r="T382" i="1"/>
  <c r="T376" i="1"/>
  <c r="T372" i="1"/>
  <c r="T368" i="1"/>
  <c r="T364" i="1"/>
  <c r="T360" i="1"/>
  <c r="T421" i="1"/>
  <c r="T405" i="1"/>
  <c r="T397" i="1"/>
  <c r="T386" i="1"/>
  <c r="T378" i="1"/>
  <c r="T362" i="1"/>
  <c r="T417" i="1"/>
  <c r="T409" i="1"/>
  <c r="T401" i="1"/>
  <c r="T393" i="1"/>
  <c r="T419" i="1"/>
  <c r="T416" i="1"/>
  <c r="T411" i="1"/>
  <c r="T408" i="1"/>
  <c r="T403" i="1"/>
  <c r="T400" i="1"/>
  <c r="T395" i="1"/>
  <c r="T392" i="1"/>
  <c r="T387" i="1"/>
  <c r="T384" i="1"/>
  <c r="T379" i="1"/>
  <c r="T166" i="1"/>
  <c r="T377" i="1"/>
  <c r="T373" i="1"/>
  <c r="T369" i="1"/>
  <c r="T367" i="1"/>
  <c r="T363" i="1"/>
  <c r="T359" i="1"/>
  <c r="T355" i="1"/>
  <c r="T351" i="1"/>
  <c r="T347" i="1"/>
  <c r="T343" i="1"/>
  <c r="T339" i="1"/>
  <c r="T335" i="1"/>
  <c r="T331" i="1"/>
  <c r="T327" i="1"/>
  <c r="T323" i="1"/>
  <c r="T319" i="1"/>
  <c r="T317" i="1"/>
  <c r="T313" i="1"/>
  <c r="T309" i="1"/>
  <c r="T307" i="1"/>
  <c r="T305" i="1"/>
  <c r="T303" i="1"/>
  <c r="T299" i="1"/>
  <c r="T297" i="1"/>
  <c r="T295" i="1"/>
  <c r="T293" i="1"/>
  <c r="T291" i="1"/>
  <c r="T289" i="1"/>
  <c r="T287" i="1"/>
  <c r="T285" i="1"/>
  <c r="T283" i="1"/>
  <c r="T281" i="1"/>
  <c r="T279" i="1"/>
  <c r="T277" i="1"/>
  <c r="T275" i="1"/>
  <c r="T273" i="1"/>
  <c r="T271" i="1"/>
  <c r="T269" i="1"/>
  <c r="T267" i="1"/>
  <c r="T265" i="1"/>
  <c r="T263" i="1"/>
  <c r="T261" i="1"/>
  <c r="T259" i="1"/>
  <c r="T257" i="1"/>
  <c r="T255" i="1"/>
  <c r="T253" i="1"/>
  <c r="T251" i="1"/>
  <c r="T249" i="1"/>
  <c r="T247" i="1"/>
  <c r="T245" i="1"/>
  <c r="T243" i="1"/>
  <c r="T241" i="1"/>
  <c r="T239" i="1"/>
  <c r="T237" i="1"/>
  <c r="T235" i="1"/>
  <c r="T233" i="1"/>
  <c r="T231" i="1"/>
  <c r="T229" i="1"/>
  <c r="T227" i="1"/>
  <c r="T225" i="1"/>
  <c r="T223" i="1"/>
  <c r="T221" i="1"/>
  <c r="T219" i="1"/>
  <c r="T217" i="1"/>
  <c r="T215" i="1"/>
  <c r="T213" i="1"/>
  <c r="T211" i="1"/>
  <c r="T209" i="1"/>
  <c r="T207" i="1"/>
  <c r="T205" i="1"/>
  <c r="T203" i="1"/>
  <c r="T201" i="1"/>
  <c r="T199" i="1"/>
  <c r="T197" i="1"/>
  <c r="T195" i="1"/>
  <c r="T193" i="1"/>
  <c r="T191" i="1"/>
  <c r="T189" i="1"/>
  <c r="T187" i="1"/>
  <c r="T185" i="1"/>
  <c r="T183" i="1"/>
  <c r="T181" i="1"/>
  <c r="T179" i="1"/>
  <c r="T177" i="1"/>
  <c r="T175" i="1"/>
  <c r="T173" i="1"/>
  <c r="T168" i="1"/>
  <c r="T165" i="1"/>
  <c r="T375" i="1"/>
  <c r="T371" i="1"/>
  <c r="T365" i="1"/>
  <c r="T361" i="1"/>
  <c r="T357" i="1"/>
  <c r="T353" i="1"/>
  <c r="T349" i="1"/>
  <c r="T345" i="1"/>
  <c r="T341" i="1"/>
  <c r="T337" i="1"/>
  <c r="T333" i="1"/>
  <c r="T329" i="1"/>
  <c r="T325" i="1"/>
  <c r="T321" i="1"/>
  <c r="T315" i="1"/>
  <c r="T311" i="1"/>
  <c r="T301" i="1"/>
  <c r="T170" i="1"/>
  <c r="T167" i="1"/>
  <c r="T358" i="1"/>
  <c r="T356" i="1"/>
  <c r="T354" i="1"/>
  <c r="T352" i="1"/>
  <c r="T350" i="1"/>
  <c r="T348" i="1"/>
  <c r="T346" i="1"/>
  <c r="T344" i="1"/>
  <c r="T342" i="1"/>
  <c r="T340" i="1"/>
  <c r="T338" i="1"/>
  <c r="T336" i="1"/>
  <c r="T334" i="1"/>
  <c r="T332" i="1"/>
  <c r="T330" i="1"/>
  <c r="T328" i="1"/>
  <c r="T326" i="1"/>
  <c r="T324" i="1"/>
  <c r="T322" i="1"/>
  <c r="T320" i="1"/>
  <c r="T318" i="1"/>
  <c r="T316" i="1"/>
  <c r="T314" i="1"/>
  <c r="T312" i="1"/>
  <c r="T310" i="1"/>
  <c r="T308" i="1"/>
  <c r="T306" i="1"/>
  <c r="T304" i="1"/>
  <c r="T302" i="1"/>
  <c r="T300" i="1"/>
  <c r="T298" i="1"/>
  <c r="T296" i="1"/>
  <c r="T294" i="1"/>
  <c r="T292" i="1"/>
  <c r="T290" i="1"/>
  <c r="T288" i="1"/>
  <c r="T286" i="1"/>
  <c r="T284" i="1"/>
  <c r="T282" i="1"/>
  <c r="T280" i="1"/>
  <c r="T278" i="1"/>
  <c r="T276" i="1"/>
  <c r="T274" i="1"/>
  <c r="T272" i="1"/>
  <c r="T270" i="1"/>
  <c r="T268" i="1"/>
  <c r="T266" i="1"/>
  <c r="T264" i="1"/>
  <c r="T262" i="1"/>
  <c r="T260" i="1"/>
  <c r="T258" i="1"/>
  <c r="T256" i="1"/>
  <c r="T254" i="1"/>
  <c r="T252" i="1"/>
  <c r="T250" i="1"/>
  <c r="T248" i="1"/>
  <c r="T246" i="1"/>
  <c r="T244" i="1"/>
  <c r="T242" i="1"/>
  <c r="T240" i="1"/>
  <c r="T238" i="1"/>
  <c r="T236" i="1"/>
  <c r="T234" i="1"/>
  <c r="T232" i="1"/>
  <c r="T230" i="1"/>
  <c r="T228" i="1"/>
  <c r="T226" i="1"/>
  <c r="T224" i="1"/>
  <c r="T222" i="1"/>
  <c r="T220" i="1"/>
  <c r="T218" i="1"/>
  <c r="T216" i="1"/>
  <c r="T214" i="1"/>
  <c r="T212" i="1"/>
  <c r="T210" i="1"/>
  <c r="T208" i="1"/>
  <c r="T206" i="1"/>
  <c r="T204" i="1"/>
  <c r="T202" i="1"/>
  <c r="T200" i="1"/>
  <c r="T198" i="1"/>
  <c r="T196" i="1"/>
  <c r="T194" i="1"/>
  <c r="T192" i="1"/>
  <c r="T190" i="1"/>
  <c r="T188" i="1"/>
  <c r="T186" i="1"/>
  <c r="T184" i="1"/>
  <c r="T182" i="1"/>
  <c r="T180" i="1"/>
  <c r="T178" i="1"/>
  <c r="T176" i="1"/>
  <c r="T174" i="1"/>
  <c r="T172" i="1"/>
  <c r="T169" i="1"/>
  <c r="T163" i="1"/>
  <c r="T164" i="1"/>
  <c r="T162" i="1"/>
  <c r="T160" i="1"/>
  <c r="T158" i="1"/>
  <c r="T156" i="1"/>
  <c r="T154" i="1"/>
  <c r="T152" i="1"/>
  <c r="T150" i="1"/>
  <c r="T148" i="1"/>
  <c r="T146" i="1"/>
  <c r="T144" i="1"/>
  <c r="T142" i="1"/>
  <c r="T140" i="1"/>
  <c r="T138" i="1"/>
  <c r="T136" i="1"/>
  <c r="T134" i="1"/>
  <c r="T132" i="1"/>
  <c r="T130" i="1"/>
  <c r="T128" i="1"/>
  <c r="T126" i="1"/>
  <c r="T124" i="1"/>
  <c r="T122" i="1"/>
  <c r="T120" i="1"/>
  <c r="T118" i="1"/>
  <c r="T116" i="1"/>
  <c r="T114" i="1"/>
  <c r="T112" i="1"/>
  <c r="T110" i="1"/>
  <c r="T108" i="1"/>
  <c r="T106" i="1"/>
  <c r="T104" i="1"/>
  <c r="T102" i="1"/>
  <c r="T100" i="1"/>
  <c r="T98" i="1"/>
  <c r="T96" i="1"/>
  <c r="T94" i="1"/>
  <c r="T92" i="1"/>
  <c r="T90" i="1"/>
  <c r="T88" i="1"/>
  <c r="T86" i="1"/>
  <c r="T84" i="1"/>
  <c r="T82" i="1"/>
  <c r="T80" i="1"/>
  <c r="T78" i="1"/>
  <c r="T76" i="1"/>
  <c r="T74" i="1"/>
  <c r="T72" i="1"/>
  <c r="T70" i="1"/>
  <c r="T68" i="1"/>
  <c r="T66" i="1"/>
  <c r="T64" i="1"/>
  <c r="T62" i="1"/>
  <c r="T60" i="1"/>
  <c r="T58" i="1"/>
  <c r="T56" i="1"/>
  <c r="T54" i="1"/>
  <c r="T52" i="1"/>
  <c r="T50" i="1"/>
  <c r="T48" i="1"/>
  <c r="T46" i="1"/>
  <c r="T44" i="1"/>
  <c r="T42" i="1"/>
  <c r="T40" i="1"/>
  <c r="T38" i="1"/>
  <c r="T36" i="1"/>
  <c r="T34" i="1"/>
  <c r="T32" i="1"/>
  <c r="T30" i="1"/>
  <c r="T28" i="1"/>
  <c r="T26" i="1"/>
  <c r="T24" i="1"/>
  <c r="T22" i="1"/>
  <c r="T20" i="1"/>
  <c r="T18" i="1"/>
  <c r="T16" i="1"/>
  <c r="T14" i="1"/>
  <c r="T12" i="1"/>
  <c r="T10" i="1"/>
  <c r="T8" i="1"/>
  <c r="T6" i="1"/>
  <c r="T4" i="1"/>
  <c r="T161" i="1"/>
  <c r="T159" i="1"/>
  <c r="T157" i="1"/>
  <c r="T155" i="1"/>
  <c r="T153" i="1"/>
  <c r="T151" i="1"/>
  <c r="T149" i="1"/>
  <c r="T147" i="1"/>
  <c r="T145" i="1"/>
  <c r="T143" i="1"/>
  <c r="T141" i="1"/>
  <c r="T139" i="1"/>
  <c r="T137" i="1"/>
  <c r="T135" i="1"/>
  <c r="T133" i="1"/>
  <c r="T131" i="1"/>
  <c r="T129" i="1"/>
  <c r="T127" i="1"/>
  <c r="T125" i="1"/>
  <c r="T123" i="1"/>
  <c r="T121" i="1"/>
  <c r="T119" i="1"/>
  <c r="T117" i="1"/>
  <c r="T115" i="1"/>
  <c r="T113" i="1"/>
  <c r="T111" i="1"/>
  <c r="T109" i="1"/>
  <c r="T107" i="1"/>
  <c r="T105" i="1"/>
  <c r="T103" i="1"/>
  <c r="T101" i="1"/>
  <c r="T99" i="1"/>
  <c r="T97" i="1"/>
  <c r="T95" i="1"/>
  <c r="T93" i="1"/>
  <c r="T91" i="1"/>
  <c r="T89" i="1"/>
  <c r="T87" i="1"/>
  <c r="T85" i="1"/>
  <c r="T83" i="1"/>
  <c r="T81" i="1"/>
  <c r="T79" i="1"/>
  <c r="T77" i="1"/>
  <c r="T75" i="1"/>
  <c r="T73" i="1"/>
  <c r="T71" i="1"/>
  <c r="T69" i="1"/>
  <c r="T67" i="1"/>
  <c r="T65" i="1"/>
  <c r="T63" i="1"/>
  <c r="T61" i="1"/>
  <c r="T59" i="1"/>
  <c r="T57" i="1"/>
  <c r="T55" i="1"/>
  <c r="T53" i="1"/>
  <c r="T51" i="1"/>
  <c r="T49" i="1"/>
  <c r="T47" i="1"/>
  <c r="T45" i="1"/>
  <c r="T43" i="1"/>
  <c r="T41" i="1"/>
  <c r="T39" i="1"/>
  <c r="T37" i="1"/>
  <c r="T35" i="1"/>
  <c r="T33" i="1"/>
  <c r="T31" i="1"/>
  <c r="T29" i="1"/>
  <c r="T27" i="1"/>
  <c r="T25" i="1"/>
  <c r="T23" i="1"/>
  <c r="T21" i="1"/>
  <c r="T19" i="1"/>
  <c r="T17" i="1"/>
  <c r="T15" i="1"/>
  <c r="T13" i="1"/>
  <c r="T11" i="1"/>
  <c r="T9" i="1"/>
  <c r="T7" i="1"/>
  <c r="T5" i="1"/>
  <c r="T3" i="1"/>
  <c r="S417" i="1"/>
  <c r="S401" i="1"/>
  <c r="S386" i="1"/>
  <c r="S361" i="1"/>
  <c r="S351" i="1"/>
  <c r="S335" i="1"/>
  <c r="S313" i="1"/>
  <c r="S303" i="1"/>
  <c r="S271" i="1"/>
  <c r="S249" i="1"/>
  <c r="S182" i="1"/>
  <c r="S420" i="1"/>
  <c r="S404" i="1"/>
  <c r="S397" i="1"/>
  <c r="S390" i="1"/>
  <c r="S383" i="1"/>
  <c r="S367" i="1"/>
  <c r="S345" i="1"/>
  <c r="S329" i="1"/>
  <c r="S319" i="1"/>
  <c r="S297" i="1"/>
  <c r="S287" i="1"/>
  <c r="S281" i="1"/>
  <c r="S265" i="1"/>
  <c r="S255" i="1"/>
  <c r="S239" i="1"/>
  <c r="S233" i="1"/>
  <c r="S223" i="1"/>
  <c r="S217" i="1"/>
  <c r="S170" i="1"/>
  <c r="S154" i="1"/>
  <c r="S138" i="1"/>
  <c r="S419" i="1"/>
  <c r="S414" i="1"/>
  <c r="S410" i="1"/>
  <c r="S407" i="1"/>
  <c r="S396" i="1"/>
  <c r="S393" i="1"/>
  <c r="S389" i="1"/>
  <c r="S382" i="1"/>
  <c r="S378" i="1"/>
  <c r="S375" i="1"/>
  <c r="S371" i="1"/>
  <c r="S365" i="1"/>
  <c r="S355" i="1"/>
  <c r="S349" i="1"/>
  <c r="S339" i="1"/>
  <c r="S333" i="1"/>
  <c r="S323" i="1"/>
  <c r="S317" i="1"/>
  <c r="S307" i="1"/>
  <c r="S301" i="1"/>
  <c r="S291" i="1"/>
  <c r="S285" i="1"/>
  <c r="S275" i="1"/>
  <c r="S269" i="1"/>
  <c r="S259" i="1"/>
  <c r="S253" i="1"/>
  <c r="S243" i="1"/>
  <c r="S237" i="1"/>
  <c r="S227" i="1"/>
  <c r="S221" i="1"/>
  <c r="S211" i="1"/>
  <c r="S204" i="1"/>
  <c r="S190" i="1"/>
  <c r="S178" i="1"/>
  <c r="S421" i="1"/>
  <c r="S416" i="1"/>
  <c r="S413" i="1"/>
  <c r="S406" i="1"/>
  <c r="S402" i="1"/>
  <c r="S399" i="1"/>
  <c r="S388" i="1"/>
  <c r="S385" i="1"/>
  <c r="S381" i="1"/>
  <c r="S374" i="1"/>
  <c r="S369" i="1"/>
  <c r="S359" i="1"/>
  <c r="S353" i="1"/>
  <c r="S343" i="1"/>
  <c r="S337" i="1"/>
  <c r="S327" i="1"/>
  <c r="S321" i="1"/>
  <c r="S311" i="1"/>
  <c r="S305" i="1"/>
  <c r="S295" i="1"/>
  <c r="S289" i="1"/>
  <c r="S279" i="1"/>
  <c r="S273" i="1"/>
  <c r="S263" i="1"/>
  <c r="S257" i="1"/>
  <c r="S247" i="1"/>
  <c r="S241" i="1"/>
  <c r="S231" i="1"/>
  <c r="S225" i="1"/>
  <c r="S215" i="1"/>
  <c r="S209" i="1"/>
  <c r="S202" i="1"/>
  <c r="S196" i="1"/>
  <c r="S186" i="1"/>
  <c r="S162" i="1"/>
  <c r="S146" i="1"/>
  <c r="S130" i="1"/>
  <c r="S418" i="1"/>
  <c r="S415" i="1"/>
  <c r="S412" i="1"/>
  <c r="S409" i="1"/>
  <c r="S405" i="1"/>
  <c r="S398" i="1"/>
  <c r="S394" i="1"/>
  <c r="S391" i="1"/>
  <c r="S380" i="1"/>
  <c r="S377" i="1"/>
  <c r="S373" i="1"/>
  <c r="S363" i="1"/>
  <c r="S357" i="1"/>
  <c r="S347" i="1"/>
  <c r="S341" i="1"/>
  <c r="S331" i="1"/>
  <c r="S325" i="1"/>
  <c r="S315" i="1"/>
  <c r="S309" i="1"/>
  <c r="S299" i="1"/>
  <c r="S293" i="1"/>
  <c r="S283" i="1"/>
  <c r="S277" i="1"/>
  <c r="S267" i="1"/>
  <c r="S261" i="1"/>
  <c r="S251" i="1"/>
  <c r="S245" i="1"/>
  <c r="S235" i="1"/>
  <c r="S229" i="1"/>
  <c r="S219" i="1"/>
  <c r="S213" i="1"/>
  <c r="S174" i="1"/>
  <c r="S166" i="1"/>
  <c r="S158" i="1"/>
  <c r="S150" i="1"/>
  <c r="S142" i="1"/>
  <c r="S134" i="1"/>
  <c r="S411" i="1"/>
  <c r="S408" i="1"/>
  <c r="S403" i="1"/>
  <c r="S400" i="1"/>
  <c r="S395" i="1"/>
  <c r="S392" i="1"/>
  <c r="S387" i="1"/>
  <c r="S384" i="1"/>
  <c r="S379" i="1"/>
  <c r="S376" i="1"/>
  <c r="S194" i="1"/>
  <c r="S206" i="1"/>
  <c r="S198" i="1"/>
  <c r="S372" i="1"/>
  <c r="S370" i="1"/>
  <c r="S368" i="1"/>
  <c r="S366" i="1"/>
  <c r="S364" i="1"/>
  <c r="S362" i="1"/>
  <c r="S360" i="1"/>
  <c r="S358" i="1"/>
  <c r="S356" i="1"/>
  <c r="S354" i="1"/>
  <c r="S352" i="1"/>
  <c r="S350" i="1"/>
  <c r="S348" i="1"/>
  <c r="S346" i="1"/>
  <c r="S344" i="1"/>
  <c r="S342" i="1"/>
  <c r="S340" i="1"/>
  <c r="S338" i="1"/>
  <c r="S336" i="1"/>
  <c r="S334" i="1"/>
  <c r="S332" i="1"/>
  <c r="S330" i="1"/>
  <c r="S328" i="1"/>
  <c r="S326" i="1"/>
  <c r="S324" i="1"/>
  <c r="S322" i="1"/>
  <c r="S320" i="1"/>
  <c r="S318" i="1"/>
  <c r="S316" i="1"/>
  <c r="S314" i="1"/>
  <c r="S312" i="1"/>
  <c r="S310" i="1"/>
  <c r="S308" i="1"/>
  <c r="S306" i="1"/>
  <c r="S304" i="1"/>
  <c r="S302" i="1"/>
  <c r="S300" i="1"/>
  <c r="S298" i="1"/>
  <c r="S296" i="1"/>
  <c r="S294" i="1"/>
  <c r="S292" i="1"/>
  <c r="S290" i="1"/>
  <c r="S288" i="1"/>
  <c r="S286" i="1"/>
  <c r="S284" i="1"/>
  <c r="S282" i="1"/>
  <c r="S280" i="1"/>
  <c r="S278" i="1"/>
  <c r="S276" i="1"/>
  <c r="S274" i="1"/>
  <c r="S272" i="1"/>
  <c r="S270" i="1"/>
  <c r="S268" i="1"/>
  <c r="S266" i="1"/>
  <c r="S264" i="1"/>
  <c r="S262" i="1"/>
  <c r="S260" i="1"/>
  <c r="S258" i="1"/>
  <c r="S256" i="1"/>
  <c r="S254" i="1"/>
  <c r="S252" i="1"/>
  <c r="S250" i="1"/>
  <c r="S248" i="1"/>
  <c r="S246" i="1"/>
  <c r="S244" i="1"/>
  <c r="S242" i="1"/>
  <c r="S240" i="1"/>
  <c r="S238" i="1"/>
  <c r="S236" i="1"/>
  <c r="S234" i="1"/>
  <c r="S232" i="1"/>
  <c r="S230" i="1"/>
  <c r="S228" i="1"/>
  <c r="S226" i="1"/>
  <c r="S224" i="1"/>
  <c r="S222" i="1"/>
  <c r="S220" i="1"/>
  <c r="S218" i="1"/>
  <c r="S216" i="1"/>
  <c r="S214" i="1"/>
  <c r="S212" i="1"/>
  <c r="S210" i="1"/>
  <c r="S208" i="1"/>
  <c r="S200" i="1"/>
  <c r="S192" i="1"/>
  <c r="S188" i="1"/>
  <c r="S184" i="1"/>
  <c r="S180" i="1"/>
  <c r="S176" i="1"/>
  <c r="S172" i="1"/>
  <c r="S168" i="1"/>
  <c r="S164" i="1"/>
  <c r="S160" i="1"/>
  <c r="S156" i="1"/>
  <c r="S152" i="1"/>
  <c r="S148" i="1"/>
  <c r="S144" i="1"/>
  <c r="S140" i="1"/>
  <c r="S136" i="1"/>
  <c r="S132" i="1"/>
  <c r="S207" i="1"/>
  <c r="S205" i="1"/>
  <c r="S203" i="1"/>
  <c r="S201" i="1"/>
  <c r="S199" i="1"/>
  <c r="S197" i="1"/>
  <c r="S195" i="1"/>
  <c r="S193" i="1"/>
  <c r="S191" i="1"/>
  <c r="S189" i="1"/>
  <c r="S187" i="1"/>
  <c r="S185" i="1"/>
  <c r="S183" i="1"/>
  <c r="S181" i="1"/>
  <c r="S179" i="1"/>
  <c r="S177" i="1"/>
  <c r="S175" i="1"/>
  <c r="S173" i="1"/>
  <c r="S171" i="1"/>
  <c r="S169" i="1"/>
  <c r="S167" i="1"/>
  <c r="S165" i="1"/>
  <c r="S163" i="1"/>
  <c r="S161" i="1"/>
  <c r="S159" i="1"/>
  <c r="S157" i="1"/>
  <c r="S155" i="1"/>
  <c r="S153" i="1"/>
  <c r="S151" i="1"/>
  <c r="S149" i="1"/>
  <c r="S147" i="1"/>
  <c r="S145" i="1"/>
  <c r="S143" i="1"/>
  <c r="S141" i="1"/>
  <c r="S139" i="1"/>
  <c r="S137" i="1"/>
  <c r="S135" i="1"/>
  <c r="S133" i="1"/>
  <c r="S131" i="1"/>
  <c r="S129" i="1"/>
  <c r="S127" i="1"/>
  <c r="S125" i="1"/>
  <c r="S123" i="1"/>
  <c r="S121" i="1"/>
  <c r="S119" i="1"/>
  <c r="S117" i="1"/>
  <c r="S115" i="1"/>
  <c r="S113" i="1"/>
  <c r="S111" i="1"/>
  <c r="S109" i="1"/>
  <c r="S107" i="1"/>
  <c r="S105" i="1"/>
  <c r="S103" i="1"/>
  <c r="S101" i="1"/>
  <c r="S99" i="1"/>
  <c r="S97" i="1"/>
  <c r="S95" i="1"/>
  <c r="S93" i="1"/>
  <c r="S91" i="1"/>
  <c r="S89" i="1"/>
  <c r="S87" i="1"/>
  <c r="S85" i="1"/>
  <c r="S83" i="1"/>
  <c r="S81" i="1"/>
  <c r="S79" i="1"/>
  <c r="S77" i="1"/>
  <c r="S75" i="1"/>
  <c r="S73" i="1"/>
  <c r="S71" i="1"/>
  <c r="S69" i="1"/>
  <c r="S67" i="1"/>
  <c r="S65" i="1"/>
  <c r="S63" i="1"/>
  <c r="S61" i="1"/>
  <c r="S59" i="1"/>
  <c r="S57" i="1"/>
  <c r="S55" i="1"/>
  <c r="S53" i="1"/>
  <c r="S51" i="1"/>
  <c r="S49" i="1"/>
  <c r="S47" i="1"/>
  <c r="S45" i="1"/>
  <c r="S43" i="1"/>
  <c r="S41" i="1"/>
  <c r="S39" i="1"/>
  <c r="S37" i="1"/>
  <c r="S35" i="1"/>
  <c r="S33" i="1"/>
  <c r="S31" i="1"/>
  <c r="S29" i="1"/>
  <c r="S27" i="1"/>
  <c r="S25" i="1"/>
  <c r="S23" i="1"/>
  <c r="S128" i="1"/>
  <c r="S126" i="1"/>
  <c r="S124" i="1"/>
  <c r="S122" i="1"/>
  <c r="S120" i="1"/>
  <c r="S118" i="1"/>
  <c r="S116" i="1"/>
  <c r="S114" i="1"/>
  <c r="S112" i="1"/>
  <c r="S110" i="1"/>
  <c r="S108" i="1"/>
  <c r="S106" i="1"/>
  <c r="S104" i="1"/>
  <c r="S102" i="1"/>
  <c r="S100" i="1"/>
  <c r="S98" i="1"/>
  <c r="S96" i="1"/>
  <c r="S94" i="1"/>
  <c r="S92" i="1"/>
  <c r="S90" i="1"/>
  <c r="S88" i="1"/>
  <c r="S86" i="1"/>
  <c r="S84" i="1"/>
  <c r="S82" i="1"/>
  <c r="S80" i="1"/>
  <c r="S78" i="1"/>
  <c r="S76" i="1"/>
  <c r="S74" i="1"/>
  <c r="S72" i="1"/>
  <c r="S70" i="1"/>
  <c r="S68" i="1"/>
  <c r="S66" i="1"/>
  <c r="S64" i="1"/>
  <c r="S62" i="1"/>
  <c r="S60" i="1"/>
  <c r="S58" i="1"/>
  <c r="S56" i="1"/>
  <c r="S54" i="1"/>
  <c r="S52" i="1"/>
  <c r="S50" i="1"/>
  <c r="S48" i="1"/>
  <c r="S46" i="1"/>
  <c r="S44" i="1"/>
  <c r="S42" i="1"/>
  <c r="S40" i="1"/>
  <c r="S38" i="1"/>
  <c r="S36" i="1"/>
  <c r="S34" i="1"/>
  <c r="S32" i="1"/>
  <c r="S30" i="1"/>
  <c r="S28" i="1"/>
  <c r="S26" i="1"/>
  <c r="S24" i="1"/>
  <c r="S22" i="1"/>
  <c r="S20" i="1"/>
  <c r="S18" i="1"/>
  <c r="S14" i="1"/>
  <c r="S12" i="1"/>
  <c r="S10" i="1"/>
  <c r="S8" i="1"/>
  <c r="S6" i="1"/>
  <c r="S4" i="1"/>
  <c r="S16" i="1"/>
  <c r="S21" i="1"/>
  <c r="S19" i="1"/>
  <c r="S17" i="1"/>
  <c r="S15" i="1"/>
  <c r="S13" i="1"/>
  <c r="S11" i="1"/>
  <c r="S9" i="1"/>
  <c r="S7" i="1"/>
  <c r="S5" i="1"/>
  <c r="S3" i="1"/>
  <c r="V3" i="1"/>
  <c r="V2" i="1"/>
  <c r="T2" i="1"/>
  <c r="S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<sst xmlns="http://schemas.openxmlformats.org/spreadsheetml/2006/main" count="2992" uniqueCount="365">
  <si>
    <t>Source</t>
  </si>
  <si>
    <t>Destination</t>
  </si>
  <si>
    <t>Budget</t>
  </si>
  <si>
    <t>Interest</t>
  </si>
  <si>
    <t>Genre</t>
  </si>
  <si>
    <t>Spot of Attractions</t>
  </si>
  <si>
    <t>SS</t>
  </si>
  <si>
    <t>MS</t>
  </si>
  <si>
    <t>ES</t>
  </si>
  <si>
    <t>SSP</t>
  </si>
  <si>
    <t>MSP</t>
  </si>
  <si>
    <t>ESP</t>
  </si>
  <si>
    <t>SA</t>
  </si>
  <si>
    <t>MA</t>
  </si>
  <si>
    <t>EA</t>
  </si>
  <si>
    <t>SW</t>
  </si>
  <si>
    <t>MW</t>
  </si>
  <si>
    <t>EW</t>
  </si>
  <si>
    <t>Islamabad</t>
  </si>
  <si>
    <t>Abbottabad</t>
  </si>
  <si>
    <t>AD,RX,RM</t>
  </si>
  <si>
    <t>Nature &amp; Parks</t>
  </si>
  <si>
    <t>Thandiani</t>
  </si>
  <si>
    <t>Dunga Gali Pine Line Track</t>
  </si>
  <si>
    <t>AD,RX</t>
  </si>
  <si>
    <t>Outdoor Activities</t>
  </si>
  <si>
    <t>Mukshpuri Top</t>
  </si>
  <si>
    <t>Miranjani</t>
  </si>
  <si>
    <t>CH</t>
  </si>
  <si>
    <t>Sights &amp; Landmarks</t>
  </si>
  <si>
    <t>Old Lockhart House</t>
  </si>
  <si>
    <t>RX,RM</t>
  </si>
  <si>
    <t>Samandar Katha Lake</t>
  </si>
  <si>
    <t>Green Spot</t>
  </si>
  <si>
    <t>Bhawalpur</t>
  </si>
  <si>
    <t xml:space="preserve">RX,RM </t>
  </si>
  <si>
    <t>Shopping</t>
  </si>
  <si>
    <t>Bahawalpur Trade Center</t>
  </si>
  <si>
    <t>Abbasi Mosque</t>
  </si>
  <si>
    <t>CH,RX,RM</t>
  </si>
  <si>
    <t>Head Panjnad</t>
  </si>
  <si>
    <t>Gulzar-e-Sadiq</t>
  </si>
  <si>
    <t>Lal Suhanra National Park</t>
  </si>
  <si>
    <t>Bahawalpur Zoo</t>
  </si>
  <si>
    <t>The Abbasi Royal Graveyard</t>
  </si>
  <si>
    <t>CH,RX</t>
  </si>
  <si>
    <t>Noor Mahal</t>
  </si>
  <si>
    <t>Tomb of Bibi Jawindi</t>
  </si>
  <si>
    <t>Darbar Mahal</t>
  </si>
  <si>
    <t>Jalaluddin Surkh-Posh Bukhari</t>
  </si>
  <si>
    <t>Jamia Masjid Al Sadiq</t>
  </si>
  <si>
    <t>Islam Barrage</t>
  </si>
  <si>
    <t>CH,AD</t>
  </si>
  <si>
    <t>Derawar Fort</t>
  </si>
  <si>
    <t>RX,RM,AD</t>
  </si>
  <si>
    <t>Water &amp; Amusement Parks</t>
  </si>
  <si>
    <t>Ss World Park</t>
  </si>
  <si>
    <t>Chillas</t>
  </si>
  <si>
    <t>Babusar Pass</t>
  </si>
  <si>
    <t>Chitral</t>
  </si>
  <si>
    <t>RX,RM,AD,CH</t>
  </si>
  <si>
    <t>Chitral Valley</t>
  </si>
  <si>
    <t>Bumburet Valley</t>
  </si>
  <si>
    <t>Chitral Gol National Park</t>
  </si>
  <si>
    <t>RX,AD,CH</t>
  </si>
  <si>
    <t>Shandur Pass</t>
  </si>
  <si>
    <t>Garam Chashma</t>
  </si>
  <si>
    <t>Karambar Lake</t>
  </si>
  <si>
    <t>Kalasha Valleys</t>
  </si>
  <si>
    <t>RX,AD</t>
  </si>
  <si>
    <t>Tirich Mir</t>
  </si>
  <si>
    <t>Rumbur valley</t>
  </si>
  <si>
    <t>Faisalabad</t>
  </si>
  <si>
    <t>University of Agriculture</t>
  </si>
  <si>
    <t>Legend:</t>
  </si>
  <si>
    <t>Government College University Faisalabad</t>
  </si>
  <si>
    <t>SS = Start of Summer</t>
  </si>
  <si>
    <t>SSP = Start of Spring</t>
  </si>
  <si>
    <t>Monuments &amp; Statues</t>
  </si>
  <si>
    <t>Gumti Water Fountain</t>
  </si>
  <si>
    <t>MS = Mid of Summer</t>
  </si>
  <si>
    <t>MSP = Mid of Spring</t>
  </si>
  <si>
    <t>AD,RM</t>
  </si>
  <si>
    <t>Sindbad Amusement Park</t>
  </si>
  <si>
    <t>EA = End of Autumn</t>
  </si>
  <si>
    <t>EW = End of Winter</t>
  </si>
  <si>
    <t>Theme Parks</t>
  </si>
  <si>
    <t xml:space="preserve">
</t>
  </si>
  <si>
    <t>RM</t>
  </si>
  <si>
    <t>Gardens</t>
  </si>
  <si>
    <t>Jinnah Gardens</t>
  </si>
  <si>
    <t xml:space="preserve">CH = Culture and Historical </t>
  </si>
  <si>
    <t>RX</t>
  </si>
  <si>
    <t>Gatwala Wildlife Park</t>
  </si>
  <si>
    <t>RX = Relaxation</t>
  </si>
  <si>
    <t>Shopping Malls</t>
  </si>
  <si>
    <t>Kohinoor One</t>
  </si>
  <si>
    <t>RM = Romantic</t>
  </si>
  <si>
    <t>Abdulrehman resort</t>
  </si>
  <si>
    <t>AD = Adventrous</t>
  </si>
  <si>
    <t>Sitara Mall</t>
  </si>
  <si>
    <t>Sir Charles James Lyall Monument</t>
  </si>
  <si>
    <t>Aqua Land Water Park Majorca</t>
  </si>
  <si>
    <t>Museums</t>
  </si>
  <si>
    <t>Lyallpur Museum</t>
  </si>
  <si>
    <t>D Ground Park</t>
  </si>
  <si>
    <t>Points of Interest &amp; Landmarks</t>
  </si>
  <si>
    <t>Clock Tower</t>
  </si>
  <si>
    <t>Pahari Grounds</t>
  </si>
  <si>
    <t>Hunza</t>
  </si>
  <si>
    <t>Altit Fort</t>
  </si>
  <si>
    <t>RX,AD,RM</t>
  </si>
  <si>
    <t>Patundas Meadows</t>
  </si>
  <si>
    <t>AD</t>
  </si>
  <si>
    <t>Geologic Formations</t>
  </si>
  <si>
    <t>Bodies of Water</t>
  </si>
  <si>
    <t>Borith Lake</t>
  </si>
  <si>
    <t>AD,CH</t>
  </si>
  <si>
    <t>Military Bases &amp; Facilities</t>
  </si>
  <si>
    <t>Kalam Darchi Fort</t>
  </si>
  <si>
    <t>Historic Sites</t>
  </si>
  <si>
    <t>Shim Shal</t>
  </si>
  <si>
    <t>Passu Glacier</t>
  </si>
  <si>
    <t>Batura Glacier</t>
  </si>
  <si>
    <t>Gojal Valley</t>
  </si>
  <si>
    <t>Hussaini Hanging Bridge</t>
  </si>
  <si>
    <t>Ganish</t>
  </si>
  <si>
    <t>Attabad lake</t>
  </si>
  <si>
    <t>Satrangi Lake</t>
  </si>
  <si>
    <t>Hunza River</t>
  </si>
  <si>
    <t>AD,RX,CH</t>
  </si>
  <si>
    <t>Kunjerab Pass</t>
  </si>
  <si>
    <t>Jehlum</t>
  </si>
  <si>
    <t>Rohtas Fort</t>
  </si>
  <si>
    <t>Khewra Salt Mine</t>
  </si>
  <si>
    <t>Kaghan Valley</t>
  </si>
  <si>
    <t>Lalazar</t>
  </si>
  <si>
    <t>Lulusar Lake</t>
  </si>
  <si>
    <t>Saif-ul-malouk</t>
  </si>
  <si>
    <t>Kashmir</t>
  </si>
  <si>
    <t>Valleys</t>
  </si>
  <si>
    <t>Sacred Rocks of Hunza</t>
  </si>
  <si>
    <t>Scenic Walking Areas</t>
  </si>
  <si>
    <t>Bhutto Park</t>
  </si>
  <si>
    <t>Sacred &amp; Religious Sites</t>
  </si>
  <si>
    <t>Darbar E Aalia Khari Sharif</t>
  </si>
  <si>
    <t>Dhani Waterfall</t>
  </si>
  <si>
    <t>Waterfalls</t>
  </si>
  <si>
    <t>Dream Valley Resort</t>
  </si>
  <si>
    <t>Mountains</t>
  </si>
  <si>
    <t>Ganga choti</t>
  </si>
  <si>
    <t>Scenic Drives</t>
  </si>
  <si>
    <t>Gurez Valley (Kel to Taobat)</t>
  </si>
  <si>
    <t>Nature &amp; Wildlife Areas</t>
  </si>
  <si>
    <t>Hiking Trails</t>
  </si>
  <si>
    <t>Jari Kas Park</t>
  </si>
  <si>
    <t>Fun &amp; Games</t>
  </si>
  <si>
    <t>Playgrounds</t>
  </si>
  <si>
    <t>Bridges</t>
  </si>
  <si>
    <t>Kohala Bridge</t>
  </si>
  <si>
    <t>Dams</t>
  </si>
  <si>
    <t>Mangla Dam</t>
  </si>
  <si>
    <t>Mangla Fort</t>
  </si>
  <si>
    <t>Mazar Miran Mir Sarkar</t>
  </si>
  <si>
    <t>Mirpur Old City Ruins</t>
  </si>
  <si>
    <t>Neelum Jhelum Power Plant</t>
  </si>
  <si>
    <t>Neelum River</t>
  </si>
  <si>
    <t>Neelum Valley</t>
  </si>
  <si>
    <t>Nergola Waterfall</t>
  </si>
  <si>
    <t>Forests</t>
  </si>
  <si>
    <t>More</t>
  </si>
  <si>
    <t>Old Hindu Temple Mandar</t>
  </si>
  <si>
    <t>Peer Chanasi</t>
  </si>
  <si>
    <t>Pir Chinasi</t>
  </si>
  <si>
    <t>Arenas &amp; Stadiums</t>
  </si>
  <si>
    <t>Quaid E Azam Stadium</t>
  </si>
  <si>
    <t>Quaid-e-Azam Tourist Lodge</t>
  </si>
  <si>
    <t>Ramkot Fort</t>
  </si>
  <si>
    <t>Castles</t>
  </si>
  <si>
    <t>Ratti Gali Lake</t>
  </si>
  <si>
    <t>Red Fort</t>
  </si>
  <si>
    <t>Sharda Peeth</t>
  </si>
  <si>
    <t>Ancient Ruins</t>
  </si>
  <si>
    <t>Shounter Valley</t>
  </si>
  <si>
    <t>Off-Road &amp; ATV Trails</t>
  </si>
  <si>
    <t>Toli Pir</t>
  </si>
  <si>
    <t>Khyber Agency</t>
  </si>
  <si>
    <t>Bab-e-Khyber</t>
  </si>
  <si>
    <t>KPK</t>
  </si>
  <si>
    <t>Hindu Kush Mountains</t>
  </si>
  <si>
    <t>Lahore</t>
  </si>
  <si>
    <t>Akbari Sarai</t>
  </si>
  <si>
    <t>Governor House</t>
  </si>
  <si>
    <t>Aitchison College Lahore</t>
  </si>
  <si>
    <t>Badshahi Mosque</t>
  </si>
  <si>
    <t>Minar-e-Pakistan</t>
  </si>
  <si>
    <t>Alamgiri Gate</t>
  </si>
  <si>
    <t>Shahi Hammam</t>
  </si>
  <si>
    <t>Bhatti Gate</t>
  </si>
  <si>
    <t>Fort and Shalamar Gardens</t>
  </si>
  <si>
    <t>Wagah Border</t>
  </si>
  <si>
    <t>Roshnai Gate</t>
  </si>
  <si>
    <t>Gurudwara Dera Sahib</t>
  </si>
  <si>
    <t>Wazir Khan Hammam</t>
  </si>
  <si>
    <t>Tomb of Muhammad Iqbal</t>
  </si>
  <si>
    <t>General Post Office Lahore</t>
  </si>
  <si>
    <t>Masjid Wazir Khan (Wazir Khan Mosque)</t>
  </si>
  <si>
    <t>Summit Minar</t>
  </si>
  <si>
    <t>Anarkali's Tomb</t>
  </si>
  <si>
    <t>Eiffel Tower Replica</t>
  </si>
  <si>
    <t>Mosque of Mariyam Zamani Begum</t>
  </si>
  <si>
    <t>Delhi Gate</t>
  </si>
  <si>
    <t>Tomb of Shah Jamal</t>
  </si>
  <si>
    <t>Chauburji</t>
  </si>
  <si>
    <t>Ali Hajvery's Tomb</t>
  </si>
  <si>
    <t>Lohari Gate</t>
  </si>
  <si>
    <t>Sights &amp; Landmarks,Food</t>
  </si>
  <si>
    <t>Food Street Taxali</t>
  </si>
  <si>
    <t>Mardan</t>
  </si>
  <si>
    <t>Takht-i-Bahi</t>
  </si>
  <si>
    <t>Multan</t>
  </si>
  <si>
    <t>Tomb of Bahauddin Zakariya</t>
  </si>
  <si>
    <t>Multan Arts Council</t>
  </si>
  <si>
    <t>Cantonment Garden</t>
  </si>
  <si>
    <t>Shrine Khawaja Awais Kagha</t>
  </si>
  <si>
    <t>CSD Park</t>
  </si>
  <si>
    <t>Dolat Gate</t>
  </si>
  <si>
    <t>Nigar Khana</t>
  </si>
  <si>
    <t>Tomb Shah Shams Sabzwari Tabrez</t>
  </si>
  <si>
    <t>United Mall</t>
  </si>
  <si>
    <t>Tomb Shah Ali Akbar</t>
  </si>
  <si>
    <t>Chenab West Bank Park</t>
  </si>
  <si>
    <t>Char Minar Masjid</t>
  </si>
  <si>
    <t>Ghanta Ghar</t>
  </si>
  <si>
    <t>Shrine of Mai Maharban</t>
  </si>
  <si>
    <t>Haram Gate</t>
  </si>
  <si>
    <t>Chaman Zar Askari Lake Park</t>
  </si>
  <si>
    <t>Mausoleum of Bibi Pak Daman</t>
  </si>
  <si>
    <t>Shrine of Shah Yusuf Gardezi</t>
  </si>
  <si>
    <t>Tomb Shah Rukne Alam</t>
  </si>
  <si>
    <t>Fort Kohna</t>
  </si>
  <si>
    <t>Naran</t>
  </si>
  <si>
    <t>Saif-ul-Muluk Lake</t>
  </si>
  <si>
    <t>Lulusar-Dudipatsar National Park</t>
  </si>
  <si>
    <t>Narowal</t>
  </si>
  <si>
    <t>Kartarpur Sahib Corridor</t>
  </si>
  <si>
    <t>Peshawar</t>
  </si>
  <si>
    <t>Chowk Yadgar</t>
  </si>
  <si>
    <t>Peshawar Gandhara Museum</t>
  </si>
  <si>
    <t>Khyber Pass</t>
  </si>
  <si>
    <t>Islamia College</t>
  </si>
  <si>
    <t>Sethi House Museum</t>
  </si>
  <si>
    <t>Mughal -Caravanserai Gor Khatri</t>
  </si>
  <si>
    <t>Warsak Dam</t>
  </si>
  <si>
    <t>Mahabat Khan's Mosque</t>
  </si>
  <si>
    <t>Jamrud Fort</t>
  </si>
  <si>
    <t>Sethi Street</t>
  </si>
  <si>
    <t>Governor's House</t>
  </si>
  <si>
    <t>Tatara Park</t>
  </si>
  <si>
    <t>Kohat Pass : Tribal Gun Factories</t>
  </si>
  <si>
    <t>Qissa Khawani Bazaar</t>
  </si>
  <si>
    <t>Fort Bala Hisar</t>
  </si>
  <si>
    <t>Cunningham Clock Tower</t>
  </si>
  <si>
    <t>Shahi Bagh Gardens</t>
  </si>
  <si>
    <t>Peshawar Zoo</t>
  </si>
  <si>
    <t>Wazir Bagh Gardens</t>
  </si>
  <si>
    <t>Khalid Bin Waled Park</t>
  </si>
  <si>
    <t>Pushkalavati Museum</t>
  </si>
  <si>
    <t>Buddhist Stupa (Sahji Ki Dheri)</t>
  </si>
  <si>
    <t>St John's Church</t>
  </si>
  <si>
    <t>Mughal Bridge</t>
  </si>
  <si>
    <t>Ander Sher Bazaar</t>
  </si>
  <si>
    <t>Sphola Stupa</t>
  </si>
  <si>
    <t>Durrani Graveyard</t>
  </si>
  <si>
    <t>Balahisar Attock Fort</t>
  </si>
  <si>
    <t>Sialkot</t>
  </si>
  <si>
    <t>Iqbal Manzil</t>
  </si>
  <si>
    <t>Temple</t>
  </si>
  <si>
    <t>Shawala Teja Singh Temple</t>
  </si>
  <si>
    <t>Sialkot Fort</t>
  </si>
  <si>
    <t>Swat</t>
  </si>
  <si>
    <t>RX,CH</t>
  </si>
  <si>
    <t>Kalam Bazaar</t>
  </si>
  <si>
    <t>Upper Dir</t>
  </si>
  <si>
    <t>Kumrat Valley Upper Dir Kohistan</t>
  </si>
  <si>
    <t>Ayubia</t>
  </si>
  <si>
    <t>Ayubia Chairlift</t>
  </si>
  <si>
    <t>Trail 6</t>
  </si>
  <si>
    <t>Shah Allah Ditta Caves</t>
  </si>
  <si>
    <t>Shakarpariyan Hills</t>
  </si>
  <si>
    <t>Fatima Church</t>
  </si>
  <si>
    <t>Trail 3</t>
  </si>
  <si>
    <t>Pakistan monument</t>
  </si>
  <si>
    <t>Quaid-i-Azam University</t>
  </si>
  <si>
    <t>Lok Virsa Museum</t>
  </si>
  <si>
    <t>Daman-e-Koh</t>
  </si>
  <si>
    <t>Pakistan Museum of Natural History</t>
  </si>
  <si>
    <t>Bird Aviary</t>
  </si>
  <si>
    <t>Simly Dam</t>
  </si>
  <si>
    <t>Bari Imam Shrine</t>
  </si>
  <si>
    <t>Lake View Park</t>
  </si>
  <si>
    <t>Margalla Hills</t>
  </si>
  <si>
    <t>Trail 5</t>
  </si>
  <si>
    <t>Giga Mall</t>
  </si>
  <si>
    <t>Rawal Lake</t>
  </si>
  <si>
    <t>Pir Sohawa</t>
  </si>
  <si>
    <t>Pakistan Railways Heritage Museum</t>
  </si>
  <si>
    <t>Pak China Friendship Center</t>
  </si>
  <si>
    <t>Zoos &amp; Aquariums</t>
  </si>
  <si>
    <t>Bahria Enclave Zoo</t>
  </si>
  <si>
    <t>Pakistan Monument Museum</t>
  </si>
  <si>
    <t>Faisal Mosque</t>
  </si>
  <si>
    <t>Islamabad Zoo</t>
  </si>
  <si>
    <t>RM,RX</t>
  </si>
  <si>
    <t>Saidpur Village</t>
  </si>
  <si>
    <t>Safa Gold Mall</t>
  </si>
  <si>
    <t>Rose and Jasmine Garden</t>
  </si>
  <si>
    <t>Fatima Jinnah Park</t>
  </si>
  <si>
    <t>Head Muhammad Wala</t>
  </si>
  <si>
    <t>Multan Cricket Stadium</t>
  </si>
  <si>
    <t>Ahmad Shah Abdali's Birth Place Monument</t>
  </si>
  <si>
    <t>Qila Kohna Qasim Bagh Stadium</t>
  </si>
  <si>
    <t>Ibne Qasim Cricket Stadium</t>
  </si>
  <si>
    <t>Damdama</t>
  </si>
  <si>
    <t>Yadgar e Shuhada Park</t>
  </si>
  <si>
    <t>Shah Shams Park</t>
  </si>
  <si>
    <t>Multan Garrison Mess</t>
  </si>
  <si>
    <t>Muree</t>
  </si>
  <si>
    <t>Kashmir Point</t>
  </si>
  <si>
    <t>Patriata Chair lift</t>
  </si>
  <si>
    <t>Sights &amp; Landmarks, Historic</t>
  </si>
  <si>
    <t>GPO</t>
  </si>
  <si>
    <t>Taxila</t>
  </si>
  <si>
    <t>Taxila Museum</t>
  </si>
  <si>
    <t>Julian Buddhist Monastery</t>
  </si>
  <si>
    <t>Taxila Ruins</t>
  </si>
  <si>
    <t>Dharmarajika Stupa</t>
  </si>
  <si>
    <t>Sirkap</t>
  </si>
  <si>
    <t>Giri Fort</t>
  </si>
  <si>
    <t>autocratn</t>
  </si>
  <si>
    <t>autocratp</t>
  </si>
  <si>
    <t>dataSheetName</t>
  </si>
  <si>
    <t>"Sheet1"</t>
  </si>
  <si>
    <t>v</t>
  </si>
  <si>
    <t>"5.1"</t>
  </si>
  <si>
    <t>vp</t>
  </si>
  <si>
    <t>updateTime</t>
  </si>
  <si>
    <t>"1.592043240639E12"</t>
  </si>
  <si>
    <t>dataSheetId</t>
  </si>
  <si>
    <t>"0.0"</t>
  </si>
  <si>
    <t>ssId</t>
  </si>
  <si>
    <t>"1JgPgQbGv-isjQ8Dv4bbUGdb9IlilRNhwKaws7_kV8Qs"</t>
  </si>
  <si>
    <t>LAT</t>
  </si>
  <si>
    <t>LONG</t>
  </si>
  <si>
    <t>ADDRESS</t>
  </si>
  <si>
    <t>AIzaSyAjOcDug7pNUANq79ZRC05Zc5aoOFHUdWM</t>
  </si>
  <si>
    <t>Travel Time(sec)</t>
  </si>
  <si>
    <t>Travel Time(Min)</t>
  </si>
  <si>
    <t>Distance(meters)</t>
  </si>
  <si>
    <t>Distance(KM)</t>
  </si>
  <si>
    <t>Country</t>
  </si>
  <si>
    <t>PK</t>
  </si>
  <si>
    <t>AIzaSyCdcI0g5cz2bs35M_N7fkXFYMBQXDWYMUA</t>
  </si>
  <si>
    <t>Hoper Valley</t>
  </si>
  <si>
    <t xml:space="preserve">Gurez Valley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</si>
</sst>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rgb="FF000000"/>
      <name val="Arial"/>
    </font>
    <font>
      <b/>
      <sz val="10"/>
      <color theme="1"/>
      <name val="Arial"/>
    </font>
    <font>
      <sz val="10"/>
      <color theme="1"/>
      <name val="Arial"/>
    </font>
    <font>
      <sz val="11"/>
      <color rgb="FF000000"/>
      <name val="Calibri"/>
    </font>
    <font>
      <b/>
      <sz val="10"/>
      <color rgb="FF000000"/>
      <name val="Arial"/>
    </font>
    <font>
      <b/>
      <sz val="10"/>
      <color rgb="FFFF0000"/>
      <name val="Arial"/>
    </font>
    <font>
      <sz val="10"/>
      <color rgb="FF000000"/>
      <name val="Arial"/>
    </font>
    <font>
      <sz val="10"/>
      <name val="Arial"/>
    </font>
    <font>
      <u/>
      <sz val="10"/>
      <color rgb="FF1155CC"/>
      <name val="Arial"/>
    </font>
    <font>
      <b/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2" fillId="0" borderId="0" xfId="0" applyFont="1" applyAlignment="1">
      <alignment horizontal="center"/>
    </xf>
    <xf numFmtId="0" fontId="4" fillId="2" borderId="0" xfId="0" applyFont="1" applyFill="1" applyAlignment="1">
      <alignment horizontal="left"/>
    </xf>
    <xf numFmtId="0" fontId="5" fillId="0" borderId="0" xfId="0" applyFont="1" applyAlignment="1"/>
    <xf numFmtId="0" fontId="6" fillId="2" borderId="0" xfId="0" applyFont="1" applyFill="1" applyAlignment="1">
      <alignment horizontal="left"/>
    </xf>
    <xf numFmtId="0" fontId="7" fillId="0" borderId="0" xfId="0" applyFont="1" applyAlignment="1"/>
    <xf numFmtId="0" fontId="8" fillId="0" borderId="0" xfId="0" applyFont="1" applyAlignment="1"/>
    <xf numFmtId="0" fontId="7" fillId="0" borderId="0" xfId="0" applyFont="1"/>
    <xf numFmtId="0" fontId="9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D432"/>
  <sheetViews>
    <sheetView tabSelected="1" topLeftCell="F67" zoomScale="90" zoomScaleNormal="90" workbookViewId="0">
      <selection activeCell="F92" sqref="F92"/>
    </sheetView>
  </sheetViews>
  <sheetFormatPr defaultColWidth="14.42578125" defaultRowHeight="15.75" customHeight="1" x14ac:dyDescent="0.2"/>
  <cols>
    <col min="1" max="1" width="24" customWidth="1"/>
    <col min="2" max="2" width="18" customWidth="1"/>
    <col min="3" max="4" width="19.42578125" customWidth="1"/>
    <col min="5" max="5" width="29.5703125" customWidth="1"/>
    <col min="6" max="6" width="47.28515625" customWidth="1"/>
    <col min="7" max="7" width="24.140625" customWidth="1"/>
    <col min="10" max="10" width="20.28515625" customWidth="1"/>
    <col min="11" max="11" width="22.28515625" customWidth="1"/>
    <col min="21" max="21" width="49.7109375" customWidth="1"/>
    <col min="22" max="22" width="21.7109375" customWidth="1"/>
    <col min="23" max="23" width="19.140625" style="13" customWidth="1"/>
    <col min="24" max="25" width="17.140625" style="13" customWidth="1"/>
    <col min="26" max="26" width="16.85546875" style="13" customWidth="1"/>
    <col min="28" max="28" width="45.140625" customWidth="1"/>
    <col min="30" max="30" width="27.5703125" customWidth="1"/>
  </cols>
  <sheetData>
    <row r="1" spans="1:30" ht="12.7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2" t="s">
        <v>352</v>
      </c>
      <c r="T1" s="2" t="s">
        <v>353</v>
      </c>
      <c r="U1" s="1" t="s">
        <v>354</v>
      </c>
      <c r="W1" s="12" t="s">
        <v>356</v>
      </c>
      <c r="X1" s="12" t="s">
        <v>357</v>
      </c>
      <c r="Y1" s="12" t="s">
        <v>358</v>
      </c>
      <c r="Z1" s="12" t="s">
        <v>359</v>
      </c>
      <c r="AA1" s="12" t="s">
        <v>360</v>
      </c>
    </row>
    <row r="2" spans="1:30" ht="15.75" customHeight="1" x14ac:dyDescent="0.25">
      <c r="A2" s="2" t="s">
        <v>18</v>
      </c>
      <c r="B2" s="2" t="s">
        <v>19</v>
      </c>
      <c r="D2" s="3" t="s">
        <v>20</v>
      </c>
      <c r="E2" s="4" t="s">
        <v>21</v>
      </c>
      <c r="F2" s="4" t="s">
        <v>22</v>
      </c>
      <c r="G2" s="5">
        <v>1</v>
      </c>
      <c r="H2" s="5">
        <v>1</v>
      </c>
      <c r="I2" s="5">
        <v>1</v>
      </c>
      <c r="J2" s="5">
        <v>1</v>
      </c>
      <c r="K2" s="5">
        <v>1</v>
      </c>
      <c r="L2" s="5">
        <v>1</v>
      </c>
      <c r="M2" s="5">
        <v>1</v>
      </c>
      <c r="N2" s="5">
        <v>1</v>
      </c>
      <c r="O2" s="5">
        <v>1</v>
      </c>
      <c r="P2" s="5">
        <v>1</v>
      </c>
      <c r="Q2" s="5">
        <v>0</v>
      </c>
      <c r="R2" s="5">
        <v>0</v>
      </c>
      <c r="S2" cm="1">
        <f t="array" ref="S2">GetLatitude(U2)</f>
        <v>34.161699800000001</v>
      </c>
      <c r="T2" cm="1">
        <f t="array" ref="T2">GetLongitude(U2)</f>
        <v>73.277689100000003</v>
      </c>
      <c r="U2" t="str">
        <f>F2&amp;", "&amp;B2&amp;", "&amp;AA2</f>
        <v>Thandiani, Abbottabad, PK</v>
      </c>
      <c r="V2" t="str" cm="1">
        <f t="array" ref="V2">GetCoordinates(U2)</f>
        <v>34.1616998, 73.2776891</v>
      </c>
      <c r="W2" s="13" cm="1">
        <f t="array" ref="W2">TravelTime(A2,U2,AB2)</f>
        <v>8263</v>
      </c>
      <c r="X2" s="13">
        <f>W2/60</f>
        <v>137.71666666666667</v>
      </c>
      <c r="Y2" s="13" cm="1">
        <f t="array" ref="Y2">TravelDistance(A2,U2,AB2)</f>
        <v>139159</v>
      </c>
      <c r="Z2" s="13" t="str">
        <f>ROUND(Y2/1000,2)&amp;"km"</f>
        <v>139.16km</v>
      </c>
      <c r="AA2" s="14" t="s">
        <v>361</v>
      </c>
      <c r="AB2" t="s">
        <v>355</v>
      </c>
    </row>
    <row r="3" spans="1:30" ht="15.75" customHeight="1" x14ac:dyDescent="0.25">
      <c r="A3" s="2" t="s">
        <v>18</v>
      </c>
      <c r="B3" s="2" t="s">
        <v>19</v>
      </c>
      <c r="D3" s="3" t="s">
        <v>20</v>
      </c>
      <c r="E3" s="4" t="s">
        <v>21</v>
      </c>
      <c r="F3" s="4" t="s">
        <v>23</v>
      </c>
      <c r="G3" s="5">
        <v>1</v>
      </c>
      <c r="H3" s="5">
        <v>1</v>
      </c>
      <c r="I3" s="5">
        <v>1</v>
      </c>
      <c r="J3" s="5">
        <v>1</v>
      </c>
      <c r="K3" s="5">
        <v>1</v>
      </c>
      <c r="L3" s="5">
        <v>1</v>
      </c>
      <c r="M3" s="5">
        <v>1</v>
      </c>
      <c r="N3" s="5">
        <v>1</v>
      </c>
      <c r="O3" s="5">
        <v>1</v>
      </c>
      <c r="P3" s="5">
        <v>1</v>
      </c>
      <c r="Q3" s="5">
        <v>0</v>
      </c>
      <c r="R3" s="5">
        <v>0</v>
      </c>
      <c r="S3" cm="1">
        <f t="array" ref="S3">GetLatitude(U3)</f>
        <v>34.052824200000003</v>
      </c>
      <c r="T3" cm="1">
        <f t="array" ref="T3">GetLongitude(U3)</f>
        <v>73.406970900000005</v>
      </c>
      <c r="U3" t="str">
        <f t="shared" ref="U3:U66" si="0">F3&amp;", "&amp;B3&amp;", "&amp;AA3</f>
        <v>Dunga Gali Pine Line Track, Abbottabad, PK</v>
      </c>
      <c r="V3" t="str" cm="1">
        <f t="array" ref="V3">GetCoordinates(U3)</f>
        <v>34.0528242, 73.4069709</v>
      </c>
      <c r="W3" s="13" cm="1">
        <f t="array" ref="W3">TravelTime(A3,U3,AB2)</f>
        <v>9040</v>
      </c>
      <c r="X3" s="13">
        <f t="shared" ref="X3:X66" si="1">W3/60</f>
        <v>150.66666666666666</v>
      </c>
      <c r="Y3" s="13" cm="1">
        <f t="array" ref="Y3">TravelDistance(A3,U3,AB3)</f>
        <v>80786</v>
      </c>
      <c r="Z3" s="13" t="str">
        <f t="shared" ref="Z3:Z66" si="2">ROUND(Y3/1000,2)&amp;"km"</f>
        <v>80.79km</v>
      </c>
      <c r="AA3" s="14" t="s">
        <v>361</v>
      </c>
      <c r="AB3" t="s">
        <v>355</v>
      </c>
    </row>
    <row r="4" spans="1:30" ht="15.75" customHeight="1" x14ac:dyDescent="0.25">
      <c r="A4" s="2" t="s">
        <v>18</v>
      </c>
      <c r="B4" s="2" t="s">
        <v>19</v>
      </c>
      <c r="D4" s="3" t="s">
        <v>24</v>
      </c>
      <c r="E4" s="4" t="s">
        <v>25</v>
      </c>
      <c r="F4" s="4" t="s">
        <v>26</v>
      </c>
      <c r="G4" s="5">
        <v>1</v>
      </c>
      <c r="H4" s="5">
        <v>1</v>
      </c>
      <c r="I4" s="5">
        <v>1</v>
      </c>
      <c r="J4" s="5">
        <v>1</v>
      </c>
      <c r="K4" s="5">
        <v>1</v>
      </c>
      <c r="L4" s="5">
        <v>1</v>
      </c>
      <c r="M4" s="5">
        <v>1</v>
      </c>
      <c r="N4" s="5">
        <v>1</v>
      </c>
      <c r="O4" s="5">
        <v>1</v>
      </c>
      <c r="P4" s="5">
        <v>1</v>
      </c>
      <c r="Q4" s="5">
        <v>0</v>
      </c>
      <c r="R4" s="5">
        <v>0</v>
      </c>
      <c r="S4" cm="1">
        <f t="array" ref="S4">GetLatitude(U4)</f>
        <v>34.060232599999999</v>
      </c>
      <c r="T4" cm="1">
        <f t="array" ref="T4">GetLongitude(U4)</f>
        <v>73.430793300000005</v>
      </c>
      <c r="U4" t="str">
        <f t="shared" si="0"/>
        <v>Mukshpuri Top, Abbottabad, PK</v>
      </c>
      <c r="V4" t="str" cm="1">
        <f t="array" ref="V4">GetCoordinates(U4)</f>
        <v>34.0602326, 73.4307933</v>
      </c>
      <c r="W4" s="13" cm="1">
        <f t="array" ref="W4">TravelTime(A4,U4,AB2)</f>
        <v>9155</v>
      </c>
      <c r="X4" s="13">
        <f t="shared" si="1"/>
        <v>152.58333333333334</v>
      </c>
      <c r="Y4" s="13" cm="1">
        <f t="array" ref="Y4">TravelDistance(A4,U4,AB4)</f>
        <v>81724</v>
      </c>
      <c r="Z4" s="13" t="str">
        <f t="shared" si="2"/>
        <v>81.72km</v>
      </c>
      <c r="AA4" s="14" t="s">
        <v>361</v>
      </c>
      <c r="AB4" t="s">
        <v>355</v>
      </c>
    </row>
    <row r="5" spans="1:30" ht="15.75" customHeight="1" x14ac:dyDescent="0.25">
      <c r="A5" s="2" t="s">
        <v>18</v>
      </c>
      <c r="B5" s="2" t="s">
        <v>19</v>
      </c>
      <c r="D5" s="3" t="s">
        <v>24</v>
      </c>
      <c r="E5" s="4" t="s">
        <v>21</v>
      </c>
      <c r="F5" s="4" t="s">
        <v>27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0</v>
      </c>
      <c r="R5" s="5">
        <v>0</v>
      </c>
      <c r="S5" cm="1">
        <f t="array" ref="S5">GetLatitude(U5)</f>
        <v>34.104502500000002</v>
      </c>
      <c r="T5" cm="1">
        <f t="array" ref="T5">GetLongitude(U5)</f>
        <v>73.407243500000007</v>
      </c>
      <c r="U5" t="str">
        <f t="shared" si="0"/>
        <v>Miranjani, Abbottabad, PK</v>
      </c>
      <c r="V5" t="str" cm="1">
        <f t="array" ref="V5">GetCoordinates(U5)</f>
        <v>34.1045025, 73.4072435</v>
      </c>
      <c r="W5" s="13" cm="1">
        <f t="array" ref="W5">TravelTime(A5,U5,AB4)</f>
        <v>10750</v>
      </c>
      <c r="X5" s="13">
        <f t="shared" si="1"/>
        <v>179.16666666666666</v>
      </c>
      <c r="Y5" s="13" cm="1">
        <f t="array" ref="Y5">TravelDistance(A5,U5,AB5)</f>
        <v>90511</v>
      </c>
      <c r="Z5" s="13" t="str">
        <f t="shared" si="2"/>
        <v>90.51km</v>
      </c>
      <c r="AA5" s="14" t="s">
        <v>361</v>
      </c>
      <c r="AB5" t="s">
        <v>355</v>
      </c>
    </row>
    <row r="6" spans="1:30" ht="15.75" customHeight="1" x14ac:dyDescent="0.25">
      <c r="A6" s="2" t="s">
        <v>18</v>
      </c>
      <c r="B6" s="2" t="s">
        <v>19</v>
      </c>
      <c r="D6" s="3" t="s">
        <v>28</v>
      </c>
      <c r="E6" s="4" t="s">
        <v>29</v>
      </c>
      <c r="F6" s="4" t="s">
        <v>30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0</v>
      </c>
      <c r="R6" s="5">
        <v>0</v>
      </c>
      <c r="S6" cm="1">
        <f t="array" ref="S6">GetLatitude(U6)</f>
        <v>34.149712899999997</v>
      </c>
      <c r="T6" cm="1">
        <f t="array" ref="T6">GetLongitude(U6)</f>
        <v>73.206878200000006</v>
      </c>
      <c r="U6" t="str">
        <f t="shared" si="0"/>
        <v>Old Lockhart House, Abbottabad, PK</v>
      </c>
      <c r="V6" t="str" cm="1">
        <f t="array" ref="V6">GetCoordinates(U6)</f>
        <v>34.1497129, 73.2068782</v>
      </c>
      <c r="W6" s="13" cm="1">
        <f t="array" ref="W6">TravelTime(A6,U6,AB6)</f>
        <v>7475</v>
      </c>
      <c r="X6" s="13">
        <f t="shared" si="1"/>
        <v>124.58333333333333</v>
      </c>
      <c r="Y6" s="13" cm="1">
        <f t="array" ref="Y6">TravelDistance(A6,U6,AB6)</f>
        <v>133039</v>
      </c>
      <c r="Z6" s="13" t="str">
        <f t="shared" si="2"/>
        <v>133.04km</v>
      </c>
      <c r="AA6" s="14" t="s">
        <v>361</v>
      </c>
      <c r="AB6" t="s">
        <v>355</v>
      </c>
    </row>
    <row r="7" spans="1:30" ht="15.75" customHeight="1" x14ac:dyDescent="0.25">
      <c r="A7" s="2" t="s">
        <v>18</v>
      </c>
      <c r="B7" s="2" t="s">
        <v>19</v>
      </c>
      <c r="D7" s="3" t="s">
        <v>31</v>
      </c>
      <c r="E7" s="4" t="s">
        <v>29</v>
      </c>
      <c r="F7" s="4" t="s">
        <v>32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0</v>
      </c>
      <c r="R7" s="5">
        <v>0</v>
      </c>
      <c r="S7" cm="1">
        <f t="array" ref="S7">GetLatitude(U7)</f>
        <v>34.123061499999999</v>
      </c>
      <c r="T7" cm="1">
        <f t="array" ref="T7">GetLongitude(U7)</f>
        <v>73.333564899999999</v>
      </c>
      <c r="U7" t="str">
        <f t="shared" si="0"/>
        <v>Samandar Katha Lake, Abbottabad, PK</v>
      </c>
      <c r="V7" t="str" cm="1">
        <f t="array" ref="V7">GetCoordinates(U7)</f>
        <v>34.1230615, 73.3335649</v>
      </c>
      <c r="W7" s="13" cm="1">
        <f t="array" ref="W7">TravelTime(A7,U7,AB7)</f>
        <v>9173</v>
      </c>
      <c r="X7" s="13">
        <f t="shared" si="1"/>
        <v>152.88333333333333</v>
      </c>
      <c r="Y7" s="13" cm="1">
        <f t="array" ref="Y7">TravelDistance(A7,U7,AB7)</f>
        <v>148833</v>
      </c>
      <c r="Z7" s="13" t="str">
        <f t="shared" si="2"/>
        <v>148.83km</v>
      </c>
      <c r="AA7" s="14" t="s">
        <v>361</v>
      </c>
      <c r="AB7" t="s">
        <v>355</v>
      </c>
    </row>
    <row r="8" spans="1:30" ht="15.75" customHeight="1" x14ac:dyDescent="0.25">
      <c r="A8" s="2" t="s">
        <v>18</v>
      </c>
      <c r="B8" s="2" t="s">
        <v>19</v>
      </c>
      <c r="D8" s="3" t="s">
        <v>20</v>
      </c>
      <c r="E8" s="4" t="s">
        <v>21</v>
      </c>
      <c r="F8" s="4" t="s">
        <v>33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0</v>
      </c>
      <c r="R8" s="5">
        <v>0</v>
      </c>
      <c r="S8" cm="1">
        <f t="array" ref="S8">GetLatitude(U8)</f>
        <v>34.075756800000001</v>
      </c>
      <c r="T8" cm="1">
        <f t="array" ref="T8">GetLongitude(U8)</f>
        <v>73.383454</v>
      </c>
      <c r="U8" t="str">
        <f t="shared" si="0"/>
        <v>Green Spot, Abbottabad, PK</v>
      </c>
      <c r="V8" t="str" cm="1">
        <f t="array" ref="V8">GetCoordinates(U8)</f>
        <v>34.0757568, 73.3834540</v>
      </c>
      <c r="W8" s="13" cm="1">
        <f t="array" ref="W8">TravelTime(A8,U8,AB8)</f>
        <v>9858</v>
      </c>
      <c r="X8" s="13">
        <f t="shared" si="1"/>
        <v>164.3</v>
      </c>
      <c r="Y8" s="13" cm="1">
        <f t="array" ref="Y8">TravelDistance(A8,U8,AB8)</f>
        <v>86006</v>
      </c>
      <c r="Z8" s="13" t="str">
        <f t="shared" si="2"/>
        <v>86.01km</v>
      </c>
      <c r="AA8" s="14" t="s">
        <v>361</v>
      </c>
      <c r="AB8" t="s">
        <v>355</v>
      </c>
    </row>
    <row r="9" spans="1:30" ht="15.75" customHeight="1" x14ac:dyDescent="0.25">
      <c r="A9" s="2" t="s">
        <v>18</v>
      </c>
      <c r="B9" s="2" t="s">
        <v>34</v>
      </c>
      <c r="D9" s="3" t="s">
        <v>35</v>
      </c>
      <c r="E9" s="4" t="s">
        <v>36</v>
      </c>
      <c r="F9" s="4" t="s">
        <v>37</v>
      </c>
      <c r="G9" s="5">
        <v>0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cm="1">
        <f t="array" ref="S9">GetLatitude(U9)</f>
        <v>29.392859000000001</v>
      </c>
      <c r="T9" cm="1">
        <f t="array" ref="T9">GetLongitude(U9)</f>
        <v>71.669404700000001</v>
      </c>
      <c r="U9" t="str">
        <f t="shared" si="0"/>
        <v>Bahawalpur Trade Center, Bhawalpur, PK</v>
      </c>
      <c r="V9" t="str" cm="1">
        <f t="array" ref="V9">GetCoordinates(U9)</f>
        <v>29.3928590, 71.6694047</v>
      </c>
      <c r="W9" s="13" cm="1">
        <f t="array" ref="W9">TravelTime(A9,U9,AB9)</f>
        <v>24720</v>
      </c>
      <c r="X9" s="13">
        <f t="shared" si="1"/>
        <v>412</v>
      </c>
      <c r="Y9" s="13" cm="1">
        <f t="array" ref="Y9">TravelDistance(A9,U9,AB9)</f>
        <v>622913</v>
      </c>
      <c r="Z9" s="13" t="str">
        <f t="shared" si="2"/>
        <v>622.91km</v>
      </c>
      <c r="AA9" s="14" t="s">
        <v>361</v>
      </c>
      <c r="AB9" t="s">
        <v>355</v>
      </c>
    </row>
    <row r="10" spans="1:30" ht="15.75" customHeight="1" x14ac:dyDescent="0.25">
      <c r="A10" s="2" t="s">
        <v>18</v>
      </c>
      <c r="B10" s="2" t="s">
        <v>34</v>
      </c>
      <c r="D10" s="3" t="s">
        <v>28</v>
      </c>
      <c r="E10" s="4" t="s">
        <v>29</v>
      </c>
      <c r="F10" s="4" t="s">
        <v>38</v>
      </c>
      <c r="G10" s="5">
        <v>0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cm="1">
        <f t="array" ref="S10">GetLatitude(U10)</f>
        <v>33.597158999999998</v>
      </c>
      <c r="T10" cm="1">
        <f t="array" ref="T10">GetLongitude(U10)</f>
        <v>73.072654</v>
      </c>
      <c r="U10" t="str">
        <f t="shared" si="0"/>
        <v>Abbasi Mosque, Bhawalpur, PK</v>
      </c>
      <c r="V10" t="str" cm="1">
        <f t="array" ref="V10">GetCoordinates(U10)</f>
        <v>33.5971590, 73.0726540</v>
      </c>
      <c r="W10" s="13" cm="1">
        <f t="array" ref="W10">TravelTime(A10,U10,AB10)</f>
        <v>2030</v>
      </c>
      <c r="X10" s="13">
        <f t="shared" si="1"/>
        <v>33.833333333333336</v>
      </c>
      <c r="Y10" s="13" cm="1">
        <f t="array" ref="Y10">TravelDistance(A10,U10,AB10)</f>
        <v>18726</v>
      </c>
      <c r="Z10" s="13" t="str">
        <f t="shared" si="2"/>
        <v>18.73km</v>
      </c>
      <c r="AA10" s="14" t="s">
        <v>361</v>
      </c>
      <c r="AB10" t="s">
        <v>355</v>
      </c>
    </row>
    <row r="11" spans="1:30" ht="15.75" customHeight="1" x14ac:dyDescent="0.25">
      <c r="A11" s="2" t="s">
        <v>18</v>
      </c>
      <c r="B11" s="2" t="s">
        <v>34</v>
      </c>
      <c r="D11" s="3" t="s">
        <v>39</v>
      </c>
      <c r="E11" s="4" t="s">
        <v>29</v>
      </c>
      <c r="F11" s="4" t="s">
        <v>40</v>
      </c>
      <c r="G11" s="5">
        <v>0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cm="1">
        <f t="array" ref="S11">GetLatitude(U11)</f>
        <v>29.3464983</v>
      </c>
      <c r="T11" cm="1">
        <f t="array" ref="T11">GetLongitude(U11)</f>
        <v>71.019893199999999</v>
      </c>
      <c r="U11" t="str">
        <f t="shared" si="0"/>
        <v>Head Panjnad, Bhawalpur, PK</v>
      </c>
      <c r="V11" t="str" cm="1">
        <f t="array" ref="V11">GetCoordinates(U11)</f>
        <v>29.3464983, 71.0198932</v>
      </c>
      <c r="W11" s="13" cm="1">
        <f t="array" ref="W11">TravelTime(A11,U11,AB11)</f>
        <v>25869</v>
      </c>
      <c r="X11" s="13">
        <f t="shared" si="1"/>
        <v>431.15</v>
      </c>
      <c r="Y11" s="13" cm="1">
        <f t="array" ref="Y11">TravelDistance(A11,U11,AB11)</f>
        <v>658695</v>
      </c>
      <c r="Z11" s="13" t="str">
        <f t="shared" si="2"/>
        <v>658.7km</v>
      </c>
      <c r="AA11" s="14" t="s">
        <v>361</v>
      </c>
      <c r="AB11" t="s">
        <v>355</v>
      </c>
    </row>
    <row r="12" spans="1:30" ht="15.75" customHeight="1" x14ac:dyDescent="0.25">
      <c r="A12" s="2" t="s">
        <v>18</v>
      </c>
      <c r="B12" s="2" t="s">
        <v>34</v>
      </c>
      <c r="D12" s="3" t="s">
        <v>31</v>
      </c>
      <c r="E12" s="4" t="s">
        <v>21</v>
      </c>
      <c r="F12" s="4" t="s">
        <v>41</v>
      </c>
      <c r="G12" s="5">
        <v>0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cm="1">
        <f t="array" ref="S12">GetLatitude(U12)</f>
        <v>29.391931199999998</v>
      </c>
      <c r="T12" cm="1">
        <f t="array" ref="T12">GetLongitude(U12)</f>
        <v>71.664747700000007</v>
      </c>
      <c r="U12" t="str">
        <f t="shared" si="0"/>
        <v>Gulzar-e-Sadiq, Bhawalpur, PK</v>
      </c>
      <c r="V12" t="str" cm="1">
        <f t="array" ref="V12">GetCoordinates(U12)</f>
        <v>29.3919312, 71.6647477</v>
      </c>
      <c r="W12" s="13" cm="1">
        <f t="array" ref="W12">TravelTime(A12,U12,AB12)</f>
        <v>24818</v>
      </c>
      <c r="X12" s="13">
        <f t="shared" si="1"/>
        <v>413.63333333333333</v>
      </c>
      <c r="Y12" s="13" cm="1">
        <f t="array" ref="Y12">TravelDistance(A12,U12,AB12)</f>
        <v>623271</v>
      </c>
      <c r="Z12" s="13" t="str">
        <f t="shared" si="2"/>
        <v>623.27km</v>
      </c>
      <c r="AA12" s="14" t="s">
        <v>361</v>
      </c>
      <c r="AB12" t="s">
        <v>355</v>
      </c>
    </row>
    <row r="13" spans="1:30" ht="15.75" customHeight="1" x14ac:dyDescent="0.25">
      <c r="A13" s="2" t="s">
        <v>18</v>
      </c>
      <c r="B13" s="2" t="s">
        <v>34</v>
      </c>
      <c r="D13" s="3" t="s">
        <v>31</v>
      </c>
      <c r="E13" s="4" t="s">
        <v>21</v>
      </c>
      <c r="F13" s="4" t="s">
        <v>42</v>
      </c>
      <c r="G13" s="5">
        <v>0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cm="1">
        <f t="array" ref="S13">GetLatitude(U13)</f>
        <v>29.3170456</v>
      </c>
      <c r="T13" cm="1">
        <f t="array" ref="T13">GetLongitude(U13)</f>
        <v>71.904564899999997</v>
      </c>
      <c r="U13" t="str">
        <f t="shared" si="0"/>
        <v>Lal Suhanra National Park, Bhawalpur, PK</v>
      </c>
      <c r="V13" t="str" cm="1">
        <f t="array" ref="V13">GetCoordinates(U13)</f>
        <v>29.3170456, 71.9045649</v>
      </c>
      <c r="W13" s="13" cm="1">
        <f t="array" ref="W13">TravelTime(A13,U13,AB13)</f>
        <v>28660</v>
      </c>
      <c r="X13" s="13">
        <f t="shared" si="1"/>
        <v>477.66666666666669</v>
      </c>
      <c r="Y13" s="13" cm="1">
        <f t="array" ref="Y13">TravelDistance(A13,U13,AB13)</f>
        <v>678800</v>
      </c>
      <c r="Z13" s="13" t="str">
        <f t="shared" si="2"/>
        <v>678.8km</v>
      </c>
      <c r="AA13" s="14" t="s">
        <v>361</v>
      </c>
      <c r="AB13" t="s">
        <v>355</v>
      </c>
    </row>
    <row r="14" spans="1:30" ht="15.75" customHeight="1" x14ac:dyDescent="0.25">
      <c r="A14" s="2" t="s">
        <v>18</v>
      </c>
      <c r="B14" s="2" t="s">
        <v>34</v>
      </c>
      <c r="D14" s="3" t="s">
        <v>31</v>
      </c>
      <c r="E14" s="4" t="s">
        <v>25</v>
      </c>
      <c r="F14" s="4" t="s">
        <v>43</v>
      </c>
      <c r="G14" s="5">
        <v>0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cm="1">
        <f t="array" ref="S14">GetLatitude(U14)</f>
        <v>29.4027703</v>
      </c>
      <c r="T14" cm="1">
        <f t="array" ref="T14">GetLongitude(U14)</f>
        <v>71.682760799999997</v>
      </c>
      <c r="U14" t="str">
        <f t="shared" si="0"/>
        <v>Bahawalpur Zoo, Bhawalpur, PK</v>
      </c>
      <c r="V14" t="str" cm="1">
        <f t="array" ref="V14">GetCoordinates(U14)</f>
        <v>29.4027703, 71.6827608</v>
      </c>
      <c r="W14" s="13" cm="1">
        <f t="array" ref="W14">TravelTime(A14,U14,AB14)</f>
        <v>24630</v>
      </c>
      <c r="X14" s="13">
        <f t="shared" si="1"/>
        <v>410.5</v>
      </c>
      <c r="Y14" s="13" cm="1">
        <f t="array" ref="Y14">TravelDistance(A14,U14,AB14)</f>
        <v>622014</v>
      </c>
      <c r="Z14" s="13" t="str">
        <f t="shared" si="2"/>
        <v>622.01km</v>
      </c>
      <c r="AA14" s="14" t="s">
        <v>361</v>
      </c>
      <c r="AB14" t="s">
        <v>362</v>
      </c>
      <c r="AD14" s="7" t="s">
        <v>74</v>
      </c>
    </row>
    <row r="15" spans="1:30" ht="15.75" customHeight="1" x14ac:dyDescent="0.25">
      <c r="A15" s="2" t="s">
        <v>18</v>
      </c>
      <c r="B15" s="2" t="s">
        <v>34</v>
      </c>
      <c r="D15" s="3" t="s">
        <v>28</v>
      </c>
      <c r="E15" s="4" t="s">
        <v>29</v>
      </c>
      <c r="F15" s="4" t="s">
        <v>44</v>
      </c>
      <c r="G15" s="5">
        <v>0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cm="1">
        <f t="array" ref="S15">GetLatitude(U15)</f>
        <v>28.766193099999999</v>
      </c>
      <c r="T15" cm="1">
        <f t="array" ref="T15">GetLongitude(U15)</f>
        <v>71.3427978</v>
      </c>
      <c r="U15" t="str">
        <f t="shared" si="0"/>
        <v>The Abbasi Royal Graveyard, Bhawalpur, PK</v>
      </c>
      <c r="V15" t="str" cm="1">
        <f t="array" ref="V15">GetCoordinates(U15)</f>
        <v>28.7661931, 71.3427978</v>
      </c>
      <c r="W15" s="13" cm="1">
        <f t="array" ref="W15">TravelTime(A15,U15,AB15)</f>
        <v>29712</v>
      </c>
      <c r="X15" s="13">
        <f t="shared" si="1"/>
        <v>495.2</v>
      </c>
      <c r="Y15" s="13" cm="1">
        <f t="array" ref="Y15">TravelDistance(A15,U15,AB15)</f>
        <v>713285</v>
      </c>
      <c r="Z15" s="13" t="str">
        <f t="shared" si="2"/>
        <v>713.29km</v>
      </c>
      <c r="AA15" s="14" t="s">
        <v>361</v>
      </c>
      <c r="AB15" t="s">
        <v>362</v>
      </c>
      <c r="AD15" s="2" t="s">
        <v>77</v>
      </c>
    </row>
    <row r="16" spans="1:30" ht="15.75" customHeight="1" x14ac:dyDescent="0.25">
      <c r="A16" s="2" t="s">
        <v>18</v>
      </c>
      <c r="B16" s="2" t="s">
        <v>34</v>
      </c>
      <c r="D16" s="3" t="s">
        <v>45</v>
      </c>
      <c r="E16" s="4" t="s">
        <v>29</v>
      </c>
      <c r="F16" s="4" t="s">
        <v>46</v>
      </c>
      <c r="G16" s="5">
        <v>0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cm="1">
        <f t="array" ref="S16">GetLatitude(U16)</f>
        <v>29.378965399999998</v>
      </c>
      <c r="T16" cm="1">
        <f t="array" ref="T16">GetLongitude(U16)</f>
        <v>71.667930600000005</v>
      </c>
      <c r="U16" t="str">
        <f t="shared" si="0"/>
        <v>Noor Mahal, Bhawalpur, PK</v>
      </c>
      <c r="V16" t="str" cm="1">
        <f t="array" ref="V16">GetCoordinates(U16)</f>
        <v>29.3789654, 71.6679306</v>
      </c>
      <c r="W16" s="13" cm="1">
        <f t="array" ref="W16">TravelTime(A16,U16,AB16)</f>
        <v>25208</v>
      </c>
      <c r="X16" s="13">
        <f t="shared" si="1"/>
        <v>420.13333333333333</v>
      </c>
      <c r="Y16" s="13" cm="1">
        <f t="array" ref="Y16">TravelDistance(A16,U16,AB16)</f>
        <v>625477</v>
      </c>
      <c r="Z16" s="13" t="str">
        <f t="shared" si="2"/>
        <v>625.48km</v>
      </c>
      <c r="AA16" s="14" t="s">
        <v>361</v>
      </c>
      <c r="AB16" t="s">
        <v>362</v>
      </c>
      <c r="AD16" s="2" t="s">
        <v>81</v>
      </c>
    </row>
    <row r="17" spans="1:30" ht="15.75" customHeight="1" x14ac:dyDescent="0.25">
      <c r="A17" s="2" t="s">
        <v>18</v>
      </c>
      <c r="B17" s="2" t="s">
        <v>34</v>
      </c>
      <c r="D17" s="3" t="s">
        <v>28</v>
      </c>
      <c r="E17" s="4" t="s">
        <v>29</v>
      </c>
      <c r="F17" s="4" t="s">
        <v>47</v>
      </c>
      <c r="G17" s="5">
        <v>0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cm="1">
        <f t="array" ref="S17">GetLatitude(U17)</f>
        <v>29.240869499999999</v>
      </c>
      <c r="T17" cm="1">
        <f t="array" ref="T17">GetLongitude(U17)</f>
        <v>71.052482600000005</v>
      </c>
      <c r="U17" t="str">
        <f t="shared" si="0"/>
        <v>Tomb of Bibi Jawindi, Bhawalpur, PK</v>
      </c>
      <c r="V17" t="str" cm="1">
        <f t="array" ref="V17">GetCoordinates(U17)</f>
        <v>29.2408695, 71.0524826</v>
      </c>
      <c r="W17" s="13" cm="1">
        <f t="array" ref="W17">TravelTime(A17,U17,AB17)</f>
        <v>25498</v>
      </c>
      <c r="X17" s="13">
        <f t="shared" si="1"/>
        <v>424.96666666666664</v>
      </c>
      <c r="Y17" s="13" cm="1">
        <f t="array" ref="Y17">TravelDistance(A17,U17,AB17)</f>
        <v>656674</v>
      </c>
      <c r="Z17" s="13" t="str">
        <f t="shared" si="2"/>
        <v>656.67km</v>
      </c>
      <c r="AA17" s="14" t="s">
        <v>361</v>
      </c>
      <c r="AB17" t="s">
        <v>362</v>
      </c>
      <c r="AD17" s="2" t="s">
        <v>85</v>
      </c>
    </row>
    <row r="18" spans="1:30" ht="15.75" customHeight="1" x14ac:dyDescent="0.25">
      <c r="A18" s="2" t="s">
        <v>18</v>
      </c>
      <c r="B18" s="2" t="s">
        <v>34</v>
      </c>
      <c r="D18" s="3" t="s">
        <v>28</v>
      </c>
      <c r="E18" s="4" t="s">
        <v>29</v>
      </c>
      <c r="F18" s="4" t="s">
        <v>48</v>
      </c>
      <c r="G18" s="5">
        <v>0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cm="1">
        <f t="array" ref="S18">GetLatitude(U18)</f>
        <v>29.396661399999999</v>
      </c>
      <c r="T18" cm="1">
        <f t="array" ref="T18">GetLongitude(U18)</f>
        <v>71.699793799999995</v>
      </c>
      <c r="U18" t="str">
        <f t="shared" si="0"/>
        <v>Darbar Mahal, Bhawalpur, PK</v>
      </c>
      <c r="V18" t="str" cm="1">
        <f t="array" ref="V18">GetCoordinates(U18)</f>
        <v>29.3966614, 71.6997938</v>
      </c>
      <c r="W18" s="13" cm="1">
        <f t="array" ref="W18">TravelTime(A18,U18,AB18)</f>
        <v>24863</v>
      </c>
      <c r="X18" s="13">
        <f t="shared" si="1"/>
        <v>414.38333333333333</v>
      </c>
      <c r="Y18" s="13" cm="1">
        <f t="array" ref="Y18">TravelDistance(A18,U18,AB18)</f>
        <v>623941</v>
      </c>
      <c r="Z18" s="13" t="str">
        <f t="shared" si="2"/>
        <v>623.94km</v>
      </c>
      <c r="AA18" s="14" t="s">
        <v>361</v>
      </c>
      <c r="AB18" t="s">
        <v>362</v>
      </c>
    </row>
    <row r="19" spans="1:30" ht="15.75" customHeight="1" x14ac:dyDescent="0.25">
      <c r="A19" s="2" t="s">
        <v>18</v>
      </c>
      <c r="B19" s="2" t="s">
        <v>34</v>
      </c>
      <c r="D19" s="3" t="s">
        <v>28</v>
      </c>
      <c r="E19" s="4" t="s">
        <v>29</v>
      </c>
      <c r="F19" s="4" t="s">
        <v>49</v>
      </c>
      <c r="G19" s="5">
        <v>0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cm="1">
        <f t="array" ref="S19">GetLatitude(U19)</f>
        <v>29.35435</v>
      </c>
      <c r="T19" cm="1">
        <f t="array" ref="T19">GetLongitude(U19)</f>
        <v>71.691066000000006</v>
      </c>
      <c r="U19" t="str">
        <f t="shared" si="0"/>
        <v>Jalaluddin Surkh-Posh Bukhari, Bhawalpur, PK</v>
      </c>
      <c r="V19" t="str" cm="1">
        <f t="array" ref="V19">GetCoordinates(U19)</f>
        <v>29.3543500, 71.6910660</v>
      </c>
      <c r="W19" s="13" cm="1">
        <f t="array" ref="W19">TravelTime(A19,U19,AB19)</f>
        <v>25448</v>
      </c>
      <c r="X19" s="13">
        <f t="shared" si="1"/>
        <v>424.13333333333333</v>
      </c>
      <c r="Y19" s="13" cm="1">
        <f t="array" ref="Y19">TravelDistance(A19,U19,AB19)</f>
        <v>629802</v>
      </c>
      <c r="Z19" s="13" t="str">
        <f t="shared" si="2"/>
        <v>629.8km</v>
      </c>
      <c r="AA19" s="14" t="s">
        <v>361</v>
      </c>
      <c r="AB19" t="s">
        <v>362</v>
      </c>
    </row>
    <row r="20" spans="1:30" ht="15.75" customHeight="1" x14ac:dyDescent="0.25">
      <c r="A20" s="2" t="s">
        <v>18</v>
      </c>
      <c r="B20" s="2" t="s">
        <v>34</v>
      </c>
      <c r="D20" s="3" t="s">
        <v>28</v>
      </c>
      <c r="E20" s="4" t="s">
        <v>29</v>
      </c>
      <c r="F20" s="4" t="s">
        <v>50</v>
      </c>
      <c r="G20" s="5">
        <v>0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cm="1">
        <f t="array" ref="S20">GetLatitude(U20)</f>
        <v>29.395664700000001</v>
      </c>
      <c r="T20" cm="1">
        <f t="array" ref="T20">GetLongitude(U20)</f>
        <v>71.674287800000002</v>
      </c>
      <c r="U20" t="str">
        <f t="shared" si="0"/>
        <v>Jamia Masjid Al Sadiq, Bhawalpur, PK</v>
      </c>
      <c r="V20" t="str" cm="1">
        <f t="array" ref="V20">GetCoordinates(U20)</f>
        <v>29.3956647, 71.6742878</v>
      </c>
      <c r="W20" s="13" cm="1">
        <f t="array" ref="W20">TravelTime(A20,U20,AB20)</f>
        <v>24820</v>
      </c>
      <c r="X20" s="13">
        <f t="shared" si="1"/>
        <v>413.66666666666669</v>
      </c>
      <c r="Y20" s="13" cm="1">
        <f t="array" ref="Y20">TravelDistance(A20,U20,AB20)</f>
        <v>622966</v>
      </c>
      <c r="Z20" s="13" t="str">
        <f t="shared" si="2"/>
        <v>622.97km</v>
      </c>
      <c r="AA20" s="14" t="s">
        <v>361</v>
      </c>
      <c r="AB20" t="s">
        <v>362</v>
      </c>
      <c r="AD20" s="2" t="s">
        <v>76</v>
      </c>
    </row>
    <row r="21" spans="1:30" ht="15.75" customHeight="1" x14ac:dyDescent="0.25">
      <c r="A21" s="2" t="s">
        <v>18</v>
      </c>
      <c r="B21" s="2" t="s">
        <v>34</v>
      </c>
      <c r="D21" s="3" t="s">
        <v>28</v>
      </c>
      <c r="E21" s="4" t="s">
        <v>29</v>
      </c>
      <c r="F21" s="4" t="s">
        <v>51</v>
      </c>
      <c r="G21" s="5">
        <v>0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cm="1">
        <f t="array" ref="S21">GetLatitude(U21)</f>
        <v>29.825834</v>
      </c>
      <c r="T21" cm="1">
        <f t="array" ref="T21">GetLongitude(U21)</f>
        <v>72.550798999999998</v>
      </c>
      <c r="U21" t="str">
        <f t="shared" si="0"/>
        <v>Islam Barrage, Bhawalpur, PK</v>
      </c>
      <c r="V21" t="str" cm="1">
        <f t="array" ref="V21">GetCoordinates(U21)</f>
        <v>29.8258340, 72.5507990</v>
      </c>
      <c r="W21" s="13" cm="1">
        <f t="array" ref="W21">TravelTime(A21,U21,AB21)</f>
        <v>24306</v>
      </c>
      <c r="X21" s="13">
        <f t="shared" si="1"/>
        <v>405.1</v>
      </c>
      <c r="Y21" s="13" cm="1">
        <f t="array" ref="Y21">TravelDistance(A21,U21,AB21)</f>
        <v>568594</v>
      </c>
      <c r="Z21" s="13" t="str">
        <f t="shared" si="2"/>
        <v>568.59km</v>
      </c>
      <c r="AA21" s="14" t="s">
        <v>361</v>
      </c>
      <c r="AB21" t="s">
        <v>362</v>
      </c>
      <c r="AD21" s="2" t="s">
        <v>80</v>
      </c>
    </row>
    <row r="22" spans="1:30" ht="15.75" customHeight="1" x14ac:dyDescent="0.25">
      <c r="A22" s="2" t="s">
        <v>18</v>
      </c>
      <c r="B22" s="2" t="s">
        <v>34</v>
      </c>
      <c r="D22" s="3" t="s">
        <v>52</v>
      </c>
      <c r="E22" s="4" t="s">
        <v>29</v>
      </c>
      <c r="F22" s="4" t="s">
        <v>53</v>
      </c>
      <c r="G22" s="5">
        <v>0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cm="1">
        <f t="array" ref="S22">GetLatitude(U22)</f>
        <v>28.7683784</v>
      </c>
      <c r="T22" cm="1">
        <f t="array" ref="T22">GetLongitude(U22)</f>
        <v>71.337901400000007</v>
      </c>
      <c r="U22" t="str">
        <f t="shared" si="0"/>
        <v>Derawar Fort, Bhawalpur, PK</v>
      </c>
      <c r="V22" t="str" cm="1">
        <f t="array" ref="V22">GetCoordinates(U22)</f>
        <v>28.7683784, 71.3379014</v>
      </c>
      <c r="W22" s="13" cm="1">
        <f t="array" ref="W22">TravelTime(A22,U22,AB22)</f>
        <v>29713</v>
      </c>
      <c r="X22" s="13">
        <f t="shared" si="1"/>
        <v>495.21666666666664</v>
      </c>
      <c r="Y22" s="13" cm="1">
        <f t="array" ref="Y22">TravelDistance(A22,U22,AB22)</f>
        <v>713357</v>
      </c>
      <c r="Z22" s="13" t="str">
        <f t="shared" si="2"/>
        <v>713.36km</v>
      </c>
      <c r="AA22" s="14" t="s">
        <v>361</v>
      </c>
      <c r="AB22" t="s">
        <v>362</v>
      </c>
      <c r="AD22" s="2" t="s">
        <v>84</v>
      </c>
    </row>
    <row r="23" spans="1:30" ht="15.75" customHeight="1" x14ac:dyDescent="0.25">
      <c r="A23" s="2" t="s">
        <v>18</v>
      </c>
      <c r="B23" s="2" t="s">
        <v>34</v>
      </c>
      <c r="D23" s="3" t="s">
        <v>54</v>
      </c>
      <c r="E23" s="4" t="s">
        <v>55</v>
      </c>
      <c r="F23" s="4" t="s">
        <v>56</v>
      </c>
      <c r="G23" s="5">
        <v>0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cm="1">
        <f t="array" ref="S23">GetLatitude(U23)</f>
        <v>29.393680400000001</v>
      </c>
      <c r="T23" cm="1">
        <f t="array" ref="T23">GetLongitude(U23)</f>
        <v>71.661835499999995</v>
      </c>
      <c r="U23" t="str">
        <f t="shared" si="0"/>
        <v>Ss World Park, Bhawalpur, PK</v>
      </c>
      <c r="V23" t="str" cm="1">
        <f t="array" ref="V23">GetCoordinates(U23)</f>
        <v>29.3936804, 71.6618355</v>
      </c>
      <c r="W23" s="13" cm="1">
        <f t="array" ref="W23">TravelTime(A23,U23,AB23)</f>
        <v>24815</v>
      </c>
      <c r="X23" s="13">
        <f t="shared" si="1"/>
        <v>413.58333333333331</v>
      </c>
      <c r="Y23" s="13" cm="1">
        <f t="array" ref="Y23">TravelDistance(A23,U23,AB23)</f>
        <v>623312</v>
      </c>
      <c r="Z23" s="13" t="str">
        <f t="shared" si="2"/>
        <v>623.31km</v>
      </c>
      <c r="AA23" s="14" t="s">
        <v>361</v>
      </c>
      <c r="AB23" t="s">
        <v>362</v>
      </c>
      <c r="AD23" s="3" t="s">
        <v>87</v>
      </c>
    </row>
    <row r="24" spans="1:30" ht="15.75" customHeight="1" x14ac:dyDescent="0.25">
      <c r="A24" s="2" t="s">
        <v>18</v>
      </c>
      <c r="B24" s="2" t="s">
        <v>57</v>
      </c>
      <c r="D24" s="3" t="s">
        <v>54</v>
      </c>
      <c r="E24" s="4" t="s">
        <v>29</v>
      </c>
      <c r="F24" s="4" t="s">
        <v>58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0</v>
      </c>
      <c r="R24" s="5">
        <v>0</v>
      </c>
      <c r="S24" cm="1">
        <f t="array" ref="S24">GetLatitude(U24)</f>
        <v>35.146236000000002</v>
      </c>
      <c r="T24" cm="1">
        <f t="array" ref="T24">GetLongitude(U24)</f>
        <v>74.048171600000003</v>
      </c>
      <c r="U24" t="str">
        <f t="shared" si="0"/>
        <v>Babusar Pass, Chillas, PK</v>
      </c>
      <c r="V24" t="str" cm="1">
        <f t="array" ref="V24">GetCoordinates(U24)</f>
        <v>35.1462360, 74.0481716</v>
      </c>
      <c r="W24" s="13" cm="1">
        <f t="array" ref="W24">TravelTime(A24,U24,AB24)</f>
        <v>25525</v>
      </c>
      <c r="X24" s="13">
        <f t="shared" si="1"/>
        <v>425.41666666666669</v>
      </c>
      <c r="Y24" s="13" cm="1">
        <f t="array" ref="Y24">TravelDistance(A24,U24,AB24)</f>
        <v>347417</v>
      </c>
      <c r="Z24" s="13" t="str">
        <f t="shared" si="2"/>
        <v>347.42km</v>
      </c>
      <c r="AA24" s="14" t="s">
        <v>361</v>
      </c>
      <c r="AB24" t="s">
        <v>362</v>
      </c>
      <c r="AD24" s="2" t="s">
        <v>91</v>
      </c>
    </row>
    <row r="25" spans="1:30" ht="15.75" customHeight="1" x14ac:dyDescent="0.25">
      <c r="A25" s="2" t="s">
        <v>18</v>
      </c>
      <c r="B25" s="2" t="s">
        <v>59</v>
      </c>
      <c r="D25" s="3" t="s">
        <v>60</v>
      </c>
      <c r="E25" s="4" t="s">
        <v>21</v>
      </c>
      <c r="F25" s="4" t="s">
        <v>61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 s="5">
        <v>1</v>
      </c>
      <c r="M25" s="5">
        <v>1</v>
      </c>
      <c r="N25" s="5">
        <v>1</v>
      </c>
      <c r="O25" s="5">
        <v>1</v>
      </c>
      <c r="P25" s="5">
        <v>1</v>
      </c>
      <c r="Q25" s="5">
        <v>0</v>
      </c>
      <c r="R25" s="5">
        <v>0</v>
      </c>
      <c r="S25" cm="1">
        <f t="array" ref="S25">GetLatitude(U25)</f>
        <v>35.769883200000002</v>
      </c>
      <c r="T25" cm="1">
        <f t="array" ref="T25">GetLongitude(U25)</f>
        <v>71.774110300000004</v>
      </c>
      <c r="U25" t="str">
        <f t="shared" si="0"/>
        <v>Chitral Valley, Chitral, PK</v>
      </c>
      <c r="V25" t="str" cm="1">
        <f t="array" ref="V25">GetCoordinates(U25)</f>
        <v>35.7698832, 71.7741103</v>
      </c>
      <c r="W25" s="13" cm="1">
        <f t="array" ref="W25">TravelTime(A25,U25,AB25)</f>
        <v>29457</v>
      </c>
      <c r="X25" s="13">
        <f t="shared" si="1"/>
        <v>490.95</v>
      </c>
      <c r="Y25" s="13" cm="1">
        <f t="array" ref="Y25">TravelDistance(A25,U25,AB25)</f>
        <v>389380</v>
      </c>
      <c r="Z25" s="13" t="str">
        <f t="shared" si="2"/>
        <v>389.38km</v>
      </c>
      <c r="AA25" s="14" t="s">
        <v>361</v>
      </c>
      <c r="AB25" t="s">
        <v>362</v>
      </c>
      <c r="AD25" s="2" t="s">
        <v>94</v>
      </c>
    </row>
    <row r="26" spans="1:30" ht="15.75" customHeight="1" x14ac:dyDescent="0.25">
      <c r="A26" s="2" t="s">
        <v>18</v>
      </c>
      <c r="B26" s="2" t="s">
        <v>59</v>
      </c>
      <c r="D26" s="3" t="s">
        <v>60</v>
      </c>
      <c r="E26" s="4" t="s">
        <v>21</v>
      </c>
      <c r="F26" s="4" t="s">
        <v>62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>
        <v>1</v>
      </c>
      <c r="N26" s="5">
        <v>1</v>
      </c>
      <c r="O26" s="5">
        <v>1</v>
      </c>
      <c r="P26" s="5">
        <v>1</v>
      </c>
      <c r="Q26" s="5">
        <v>0</v>
      </c>
      <c r="R26" s="5">
        <v>0</v>
      </c>
      <c r="S26" cm="1">
        <f t="array" ref="S26">GetLatitude(U26)</f>
        <v>35.6983198</v>
      </c>
      <c r="T26" cm="1">
        <f t="array" ref="T26">GetLongitude(U26)</f>
        <v>71.6913847</v>
      </c>
      <c r="U26" t="str">
        <f t="shared" si="0"/>
        <v>Bumburet Valley, Chitral, PK</v>
      </c>
      <c r="V26" t="str" cm="1">
        <f t="array" ref="V26">GetCoordinates(U26)</f>
        <v>35.6983198, 71.6913847</v>
      </c>
      <c r="W26" s="13" cm="1">
        <f t="array" ref="W26">TravelTime(A26,U26,AB26)</f>
        <v>31347</v>
      </c>
      <c r="X26" s="13">
        <f t="shared" si="1"/>
        <v>522.45000000000005</v>
      </c>
      <c r="Y26" s="13" cm="1">
        <f t="array" ref="Y26">TravelDistance(A26,U26,AB26)</f>
        <v>401618</v>
      </c>
      <c r="Z26" s="13" t="str">
        <f t="shared" si="2"/>
        <v>401.62km</v>
      </c>
      <c r="AA26" s="14" t="s">
        <v>361</v>
      </c>
      <c r="AB26" t="s">
        <v>362</v>
      </c>
      <c r="AD26" s="2" t="s">
        <v>97</v>
      </c>
    </row>
    <row r="27" spans="1:30" ht="15.75" customHeight="1" x14ac:dyDescent="0.25">
      <c r="A27" s="2" t="s">
        <v>18</v>
      </c>
      <c r="B27" s="2" t="s">
        <v>59</v>
      </c>
      <c r="D27" s="3" t="s">
        <v>60</v>
      </c>
      <c r="E27" s="4" t="s">
        <v>21</v>
      </c>
      <c r="F27" s="4" t="s">
        <v>63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0</v>
      </c>
      <c r="R27" s="5">
        <v>0</v>
      </c>
      <c r="S27" cm="1">
        <f t="array" ref="S27">GetLatitude(U27)</f>
        <v>35.894805900000001</v>
      </c>
      <c r="T27" cm="1">
        <f t="array" ref="T27">GetLongitude(U27)</f>
        <v>71.691620499999999</v>
      </c>
      <c r="U27" t="str">
        <f t="shared" si="0"/>
        <v>Chitral Gol National Park, Chitral, PK</v>
      </c>
      <c r="V27" t="str" cm="1">
        <f t="array" ref="V27">GetCoordinates(U27)</f>
        <v>35.8948059, 71.6916205</v>
      </c>
      <c r="W27" s="13" t="e" cm="1">
        <f t="array" ref="W27">TravelTime(A27,U27,AB27)</f>
        <v>#VALUE!</v>
      </c>
      <c r="X27" s="13" t="e">
        <f t="shared" si="1"/>
        <v>#VALUE!</v>
      </c>
      <c r="Y27" s="13" t="e" cm="1">
        <f t="array" ref="Y27">TravelDistance(A27,U27,AB27)</f>
        <v>#VALUE!</v>
      </c>
      <c r="Z27" s="13" t="e">
        <f t="shared" si="2"/>
        <v>#VALUE!</v>
      </c>
      <c r="AA27" s="14" t="s">
        <v>361</v>
      </c>
      <c r="AB27" t="s">
        <v>362</v>
      </c>
      <c r="AD27" s="2" t="s">
        <v>99</v>
      </c>
    </row>
    <row r="28" spans="1:30" ht="15.75" customHeight="1" x14ac:dyDescent="0.25">
      <c r="A28" s="2" t="s">
        <v>18</v>
      </c>
      <c r="B28" s="2" t="s">
        <v>59</v>
      </c>
      <c r="D28" s="3" t="s">
        <v>64</v>
      </c>
      <c r="E28" s="4" t="s">
        <v>25</v>
      </c>
      <c r="F28" s="4" t="s">
        <v>65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0</v>
      </c>
      <c r="R28" s="5">
        <v>0</v>
      </c>
      <c r="S28" cm="1">
        <f t="array" ref="S28">GetLatitude(U28)</f>
        <v>36.074444399999997</v>
      </c>
      <c r="T28" cm="1">
        <f t="array" ref="T28">GetLongitude(U28)</f>
        <v>72.518055599999997</v>
      </c>
      <c r="U28" t="str">
        <f t="shared" si="0"/>
        <v>Shandur Pass, Chitral, PK</v>
      </c>
      <c r="V28" t="str" cm="1">
        <f t="array" ref="V28">GetCoordinates(U28)</f>
        <v>36.0744444, 72.5180556</v>
      </c>
      <c r="W28" s="13" t="e" cm="1">
        <f t="array" ref="W28">TravelTime(A28,U28,AB28)</f>
        <v>#VALUE!</v>
      </c>
      <c r="X28" s="13" t="e">
        <f t="shared" si="1"/>
        <v>#VALUE!</v>
      </c>
      <c r="Y28" s="13" cm="1">
        <f t="array" ref="Y28">TravelDistance(A28,U28,AB28)</f>
        <v>546885</v>
      </c>
      <c r="Z28" s="13" t="str">
        <f t="shared" si="2"/>
        <v>546.89km</v>
      </c>
      <c r="AA28" s="14" t="s">
        <v>361</v>
      </c>
      <c r="AB28" t="s">
        <v>362</v>
      </c>
    </row>
    <row r="29" spans="1:30" ht="15.75" customHeight="1" x14ac:dyDescent="0.25">
      <c r="A29" s="2" t="s">
        <v>18</v>
      </c>
      <c r="B29" s="2" t="s">
        <v>59</v>
      </c>
      <c r="D29" s="3" t="s">
        <v>54</v>
      </c>
      <c r="E29" s="4" t="s">
        <v>21</v>
      </c>
      <c r="F29" s="4" t="s">
        <v>66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0</v>
      </c>
      <c r="R29" s="5">
        <v>0</v>
      </c>
      <c r="S29" cm="1">
        <f t="array" ref="S29">GetLatitude(U29)</f>
        <v>35.997466600000003</v>
      </c>
      <c r="T29" cm="1">
        <f t="array" ref="T29">GetLongitude(U29)</f>
        <v>71.563493300000005</v>
      </c>
      <c r="U29" t="str">
        <f t="shared" si="0"/>
        <v>Garam Chashma, Chitral, PK</v>
      </c>
      <c r="V29" t="str" cm="1">
        <f t="array" ref="V29">GetCoordinates(U29)</f>
        <v>35.9974666, 71.5634933</v>
      </c>
      <c r="W29" s="13" t="e" cm="1">
        <f t="array" ref="W29">TravelTime(A29,U29,AB29)</f>
        <v>#VALUE!</v>
      </c>
      <c r="X29" s="13" t="e">
        <f t="shared" si="1"/>
        <v>#VALUE!</v>
      </c>
      <c r="Y29" s="13" cm="1">
        <f t="array" ref="Y29">TravelDistance(A29,U29,AB29)</f>
        <v>445476</v>
      </c>
      <c r="Z29" s="13" t="str">
        <f t="shared" si="2"/>
        <v>445.48km</v>
      </c>
      <c r="AA29" s="14" t="s">
        <v>361</v>
      </c>
      <c r="AB29" t="s">
        <v>362</v>
      </c>
    </row>
    <row r="30" spans="1:30" ht="15.75" customHeight="1" x14ac:dyDescent="0.25">
      <c r="A30" s="2" t="s">
        <v>18</v>
      </c>
      <c r="B30" s="2" t="s">
        <v>59</v>
      </c>
      <c r="D30" s="3" t="s">
        <v>54</v>
      </c>
      <c r="E30" s="4" t="s">
        <v>21</v>
      </c>
      <c r="F30" s="4" t="s">
        <v>67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>
        <v>0</v>
      </c>
      <c r="R30" s="5">
        <v>0</v>
      </c>
      <c r="S30" cm="1">
        <f t="array" ref="S30">GetLatitude(U30)</f>
        <v>36.878824000000002</v>
      </c>
      <c r="T30" cm="1">
        <f t="array" ref="T30">GetLongitude(U30)</f>
        <v>73.703651399999998</v>
      </c>
      <c r="U30" t="str">
        <f t="shared" si="0"/>
        <v>Karambar Lake, Chitral, PK</v>
      </c>
      <c r="V30" t="str" cm="1">
        <f t="array" ref="V30">GetCoordinates(U30)</f>
        <v>36.8788240, 73.7036514</v>
      </c>
      <c r="W30" s="13" t="e" cm="1">
        <f t="array" ref="W30">TravelTime(A30,U30,AB30)</f>
        <v>#VALUE!</v>
      </c>
      <c r="X30" s="13" t="e">
        <f t="shared" si="1"/>
        <v>#VALUE!</v>
      </c>
      <c r="Y30" s="13" t="e" cm="1">
        <f t="array" ref="Y30">TravelDistance(A30,U30,AB30)</f>
        <v>#VALUE!</v>
      </c>
      <c r="Z30" s="13" t="e">
        <f t="shared" si="2"/>
        <v>#VALUE!</v>
      </c>
      <c r="AA30" s="14" t="s">
        <v>361</v>
      </c>
      <c r="AB30" t="s">
        <v>362</v>
      </c>
    </row>
    <row r="31" spans="1:30" ht="15.75" customHeight="1" x14ac:dyDescent="0.25">
      <c r="A31" s="2" t="s">
        <v>18</v>
      </c>
      <c r="B31" s="2" t="s">
        <v>59</v>
      </c>
      <c r="D31" s="3" t="s">
        <v>60</v>
      </c>
      <c r="E31" s="4" t="s">
        <v>21</v>
      </c>
      <c r="F31" s="4" t="s">
        <v>68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0</v>
      </c>
      <c r="R31" s="5">
        <v>0</v>
      </c>
      <c r="S31" cm="1">
        <f t="array" ref="S31">GetLatitude(U31)</f>
        <v>35.720396299999997</v>
      </c>
      <c r="T31" cm="1">
        <f t="array" ref="T31">GetLongitude(U31)</f>
        <v>71.751799300000002</v>
      </c>
      <c r="U31" t="str">
        <f t="shared" si="0"/>
        <v>Kalasha Valleys, Chitral, PK</v>
      </c>
      <c r="V31" t="str" cm="1">
        <f t="array" ref="V31">GetCoordinates(U31)</f>
        <v>35.7203963, 71.7517993</v>
      </c>
      <c r="W31" s="13" cm="1">
        <f t="array" ref="W31">TravelTime(A31,U31,AB31)</f>
        <v>30181</v>
      </c>
      <c r="X31" s="13">
        <f t="shared" si="1"/>
        <v>503.01666666666665</v>
      </c>
      <c r="Y31" s="13" cm="1">
        <f t="array" ref="Y31">TravelDistance(A31,U31,AB31)</f>
        <v>391503</v>
      </c>
      <c r="Z31" s="13" t="str">
        <f t="shared" si="2"/>
        <v>391.5km</v>
      </c>
      <c r="AA31" s="14" t="s">
        <v>361</v>
      </c>
      <c r="AB31" t="s">
        <v>355</v>
      </c>
    </row>
    <row r="32" spans="1:30" ht="15.75" customHeight="1" x14ac:dyDescent="0.25">
      <c r="A32" s="2" t="s">
        <v>18</v>
      </c>
      <c r="B32" s="2" t="s">
        <v>59</v>
      </c>
      <c r="D32" s="3" t="s">
        <v>69</v>
      </c>
      <c r="E32" s="4" t="s">
        <v>21</v>
      </c>
      <c r="F32" s="4" t="s">
        <v>70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0</v>
      </c>
      <c r="R32" s="5">
        <v>0</v>
      </c>
      <c r="S32" cm="1">
        <f t="array" ref="S32">GetLatitude(U32)</f>
        <v>36.255000000000003</v>
      </c>
      <c r="T32" cm="1">
        <f t="array" ref="T32">GetLongitude(U32)</f>
        <v>71.8408333</v>
      </c>
      <c r="U32" t="str">
        <f t="shared" si="0"/>
        <v>Tirich Mir, Chitral, PK</v>
      </c>
      <c r="V32" t="str" cm="1">
        <f t="array" ref="V32">GetCoordinates(U32)</f>
        <v>36.2550000, 71.8408333</v>
      </c>
      <c r="W32" s="13" t="e" cm="1">
        <f t="array" ref="W32">TravelTime(A32,U32,AB32)</f>
        <v>#VALUE!</v>
      </c>
      <c r="X32" s="13" t="e">
        <f t="shared" si="1"/>
        <v>#VALUE!</v>
      </c>
      <c r="Y32" s="13" t="e" cm="1">
        <f t="array" ref="Y32">TravelDistance(A32,U32,AB32)</f>
        <v>#VALUE!</v>
      </c>
      <c r="Z32" s="13" t="e">
        <f t="shared" si="2"/>
        <v>#VALUE!</v>
      </c>
      <c r="AA32" s="14" t="s">
        <v>361</v>
      </c>
      <c r="AB32" t="s">
        <v>355</v>
      </c>
    </row>
    <row r="33" spans="1:28" ht="15.75" customHeight="1" x14ac:dyDescent="0.25">
      <c r="A33" s="2" t="s">
        <v>18</v>
      </c>
      <c r="B33" s="2" t="s">
        <v>59</v>
      </c>
      <c r="D33" s="3" t="s">
        <v>54</v>
      </c>
      <c r="E33" s="4" t="s">
        <v>21</v>
      </c>
      <c r="F33" s="4" t="s">
        <v>71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 s="5">
        <v>1</v>
      </c>
      <c r="M33" s="5">
        <v>1</v>
      </c>
      <c r="N33" s="5">
        <v>1</v>
      </c>
      <c r="O33" s="5">
        <v>1</v>
      </c>
      <c r="P33" s="5">
        <v>1</v>
      </c>
      <c r="Q33" s="5">
        <v>0</v>
      </c>
      <c r="R33" s="5">
        <v>0</v>
      </c>
      <c r="S33" cm="1">
        <f t="array" ref="S33">GetLatitude(U33)</f>
        <v>35.753887300000002</v>
      </c>
      <c r="T33" cm="1">
        <f t="array" ref="T33">GetLongitude(U33)</f>
        <v>71.703281700000005</v>
      </c>
      <c r="U33" t="str">
        <f t="shared" si="0"/>
        <v>Rumbur valley, Chitral, PK</v>
      </c>
      <c r="V33" t="str" cm="1">
        <f t="array" ref="V33">GetCoordinates(U33)</f>
        <v>35.7538873, 71.7032817</v>
      </c>
      <c r="W33" s="13" cm="1">
        <f t="array" ref="W33">TravelTime(A33,U33,AB33)</f>
        <v>31189</v>
      </c>
      <c r="X33" s="13">
        <f t="shared" si="1"/>
        <v>519.81666666666672</v>
      </c>
      <c r="Y33" s="13" cm="1">
        <f t="array" ref="Y33">TravelDistance(A33,U33,AB33)</f>
        <v>399026</v>
      </c>
      <c r="Z33" s="13" t="str">
        <f t="shared" si="2"/>
        <v>399.03km</v>
      </c>
      <c r="AA33" s="14" t="s">
        <v>361</v>
      </c>
      <c r="AB33" t="s">
        <v>355</v>
      </c>
    </row>
    <row r="34" spans="1:28" ht="15.75" customHeight="1" x14ac:dyDescent="0.25">
      <c r="A34" s="2" t="s">
        <v>18</v>
      </c>
      <c r="B34" s="6" t="s">
        <v>72</v>
      </c>
      <c r="D34" s="3" t="s">
        <v>28</v>
      </c>
      <c r="E34" s="4" t="s">
        <v>29</v>
      </c>
      <c r="F34" s="4" t="s">
        <v>73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 s="5">
        <v>1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cm="1">
        <f t="array" ref="S34">GetLatitude(U34)</f>
        <v>31.485161399999999</v>
      </c>
      <c r="T34" cm="1">
        <f t="array" ref="T34">GetLongitude(U34)</f>
        <v>73.072579899999994</v>
      </c>
      <c r="U34" t="str">
        <f t="shared" si="0"/>
        <v>University of Agriculture, Faisalabad, PK</v>
      </c>
      <c r="V34" t="str" cm="1">
        <f t="array" ref="V34">GetCoordinates(U34)</f>
        <v>31.4851614, 73.0725799</v>
      </c>
      <c r="W34" s="13" cm="1">
        <f t="array" ref="W34">TravelTime(A34,U34,AB34)</f>
        <v>12427</v>
      </c>
      <c r="X34" s="13">
        <f t="shared" si="1"/>
        <v>207.11666666666667</v>
      </c>
      <c r="Y34" s="13" cm="1">
        <f t="array" ref="Y34">TravelDistance(A34,U34,AB34)</f>
        <v>312645</v>
      </c>
      <c r="Z34" s="13" t="str">
        <f t="shared" si="2"/>
        <v>312.65km</v>
      </c>
      <c r="AA34" s="14" t="s">
        <v>361</v>
      </c>
      <c r="AB34" t="s">
        <v>355</v>
      </c>
    </row>
    <row r="35" spans="1:28" ht="15.75" customHeight="1" x14ac:dyDescent="0.25">
      <c r="A35" s="2" t="s">
        <v>18</v>
      </c>
      <c r="B35" s="6" t="s">
        <v>72</v>
      </c>
      <c r="D35" s="3" t="s">
        <v>28</v>
      </c>
      <c r="E35" s="4" t="s">
        <v>29</v>
      </c>
      <c r="F35" s="4" t="s">
        <v>75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>
        <v>1</v>
      </c>
      <c r="S35" cm="1">
        <f t="array" ref="S35">GetLatitude(U35)</f>
        <v>31.416151500000002</v>
      </c>
      <c r="T35" cm="1">
        <f t="array" ref="T35">GetLongitude(U35)</f>
        <v>73.069912500000001</v>
      </c>
      <c r="U35" t="str">
        <f t="shared" si="0"/>
        <v>Government College University Faisalabad, Faisalabad, PK</v>
      </c>
      <c r="V35" t="str" cm="1">
        <f t="array" ref="V35">GetCoordinates(U35)</f>
        <v>31.4161515, 73.0699125</v>
      </c>
      <c r="W35" s="13" cm="1">
        <f t="array" ref="W35">TravelTime(A35,U35,AB35)</f>
        <v>13593</v>
      </c>
      <c r="X35" s="13">
        <f t="shared" si="1"/>
        <v>226.55</v>
      </c>
      <c r="Y35" s="13" cm="1">
        <f t="array" ref="Y35">TravelDistance(A35,U35,AB35)</f>
        <v>321589</v>
      </c>
      <c r="Z35" s="13" t="str">
        <f t="shared" si="2"/>
        <v>321.59km</v>
      </c>
      <c r="AA35" s="14" t="s">
        <v>361</v>
      </c>
      <c r="AB35" t="s">
        <v>355</v>
      </c>
    </row>
    <row r="36" spans="1:28" ht="15" x14ac:dyDescent="0.25">
      <c r="A36" s="2" t="s">
        <v>18</v>
      </c>
      <c r="B36" s="6" t="s">
        <v>72</v>
      </c>
      <c r="D36" s="3" t="s">
        <v>28</v>
      </c>
      <c r="E36" s="4" t="s">
        <v>78</v>
      </c>
      <c r="F36" s="4" t="s">
        <v>79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cm="1">
        <f t="array" ref="S36">GetLatitude(U36)</f>
        <v>31.419023299999999</v>
      </c>
      <c r="T36" cm="1">
        <f t="array" ref="T36">GetLongitude(U36)</f>
        <v>73.084359899999995</v>
      </c>
      <c r="U36" t="str">
        <f t="shared" si="0"/>
        <v>Gumti Water Fountain, Faisalabad, PK</v>
      </c>
      <c r="V36" t="str" cm="1">
        <f t="array" ref="V36">GetCoordinates(U36)</f>
        <v>31.4190233, 73.0843599</v>
      </c>
      <c r="W36" s="13" cm="1">
        <f t="array" ref="W36">TravelTime(A36,U36,AB36)</f>
        <v>13366</v>
      </c>
      <c r="X36" s="13">
        <f t="shared" si="1"/>
        <v>222.76666666666668</v>
      </c>
      <c r="Y36" s="13" cm="1">
        <f t="array" ref="Y36">TravelDistance(A36,U36,AB36)</f>
        <v>320375</v>
      </c>
      <c r="Z36" s="13" t="str">
        <f t="shared" si="2"/>
        <v>320.38km</v>
      </c>
      <c r="AA36" s="14" t="s">
        <v>361</v>
      </c>
      <c r="AB36" t="s">
        <v>355</v>
      </c>
    </row>
    <row r="37" spans="1:28" ht="15" x14ac:dyDescent="0.25">
      <c r="A37" s="2" t="s">
        <v>18</v>
      </c>
      <c r="B37" s="6" t="s">
        <v>72</v>
      </c>
      <c r="D37" s="3" t="s">
        <v>82</v>
      </c>
      <c r="E37" s="4" t="s">
        <v>55</v>
      </c>
      <c r="F37" s="4" t="s">
        <v>83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 s="5">
        <v>1</v>
      </c>
      <c r="M37" s="5">
        <v>1</v>
      </c>
      <c r="N37" s="5">
        <v>1</v>
      </c>
      <c r="O37" s="5">
        <v>1</v>
      </c>
      <c r="P37" s="5">
        <v>1</v>
      </c>
      <c r="Q37" s="5">
        <v>1</v>
      </c>
      <c r="R37" s="5">
        <v>1</v>
      </c>
      <c r="S37" cm="1">
        <f t="array" ref="S37">GetLatitude(U37)</f>
        <v>31.434367300000002</v>
      </c>
      <c r="T37" cm="1">
        <f t="array" ref="T37">GetLongitude(U37)</f>
        <v>73.087198599999994</v>
      </c>
      <c r="U37" t="str">
        <f t="shared" si="0"/>
        <v>Sindbad Amusement Park, Faisalabad, PK</v>
      </c>
      <c r="V37" t="str" cm="1">
        <f t="array" ref="V37">GetCoordinates(U37)</f>
        <v>31.4343673, 73.0871986</v>
      </c>
      <c r="W37" s="13" cm="1">
        <f t="array" ref="W37">TravelTime(A37,U37,AB37)</f>
        <v>13152</v>
      </c>
      <c r="X37" s="13">
        <f t="shared" si="1"/>
        <v>219.2</v>
      </c>
      <c r="Y37" s="13" cm="1">
        <f t="array" ref="Y37">TravelDistance(A37,U37,AB37)</f>
        <v>318809</v>
      </c>
      <c r="Z37" s="13" t="str">
        <f t="shared" si="2"/>
        <v>318.81km</v>
      </c>
      <c r="AA37" s="14" t="s">
        <v>361</v>
      </c>
      <c r="AB37" t="s">
        <v>355</v>
      </c>
    </row>
    <row r="38" spans="1:28" ht="15" x14ac:dyDescent="0.25">
      <c r="A38" s="2" t="s">
        <v>18</v>
      </c>
      <c r="B38" s="6" t="s">
        <v>72</v>
      </c>
      <c r="D38" s="3" t="s">
        <v>82</v>
      </c>
      <c r="E38" s="4" t="s">
        <v>86</v>
      </c>
      <c r="F38" s="4" t="s">
        <v>83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 s="5">
        <v>1</v>
      </c>
      <c r="M38" s="5">
        <v>1</v>
      </c>
      <c r="N38" s="5">
        <v>1</v>
      </c>
      <c r="O38" s="5">
        <v>1</v>
      </c>
      <c r="P38" s="5">
        <v>1</v>
      </c>
      <c r="Q38" s="5">
        <v>1</v>
      </c>
      <c r="R38" s="5">
        <v>1</v>
      </c>
      <c r="S38" cm="1">
        <f t="array" ref="S38">GetLatitude(U38)</f>
        <v>31.434367300000002</v>
      </c>
      <c r="T38" cm="1">
        <f t="array" ref="T38">GetLongitude(U38)</f>
        <v>73.087198599999994</v>
      </c>
      <c r="U38" t="str">
        <f t="shared" si="0"/>
        <v>Sindbad Amusement Park, Faisalabad, PK</v>
      </c>
      <c r="V38" t="str" cm="1">
        <f t="array" ref="V38">GetCoordinates(U38)</f>
        <v>31.4343673, 73.0871986</v>
      </c>
      <c r="W38" s="13" cm="1">
        <f t="array" ref="W38">TravelTime(A38,U38,AB38)</f>
        <v>13152</v>
      </c>
      <c r="X38" s="13">
        <f t="shared" si="1"/>
        <v>219.2</v>
      </c>
      <c r="Y38" s="13" cm="1">
        <f t="array" ref="Y38">TravelDistance(A38,U38,AB38)</f>
        <v>318809</v>
      </c>
      <c r="Z38" s="13" t="str">
        <f t="shared" si="2"/>
        <v>318.81km</v>
      </c>
      <c r="AA38" s="14" t="s">
        <v>361</v>
      </c>
      <c r="AB38" t="s">
        <v>355</v>
      </c>
    </row>
    <row r="39" spans="1:28" ht="15" x14ac:dyDescent="0.25">
      <c r="A39" s="2" t="s">
        <v>18</v>
      </c>
      <c r="B39" s="6" t="s">
        <v>72</v>
      </c>
      <c r="D39" s="3" t="s">
        <v>88</v>
      </c>
      <c r="E39" s="4" t="s">
        <v>89</v>
      </c>
      <c r="F39" s="4" t="s">
        <v>90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 s="5">
        <v>1</v>
      </c>
      <c r="M39" s="5">
        <v>1</v>
      </c>
      <c r="N39" s="5">
        <v>1</v>
      </c>
      <c r="O39" s="5">
        <v>1</v>
      </c>
      <c r="P39" s="5">
        <v>1</v>
      </c>
      <c r="Q39" s="5">
        <v>1</v>
      </c>
      <c r="R39" s="5">
        <v>1</v>
      </c>
      <c r="S39" cm="1">
        <f t="array" ref="S39">GetLatitude(U39)</f>
        <v>31.424616100000001</v>
      </c>
      <c r="T39" cm="1">
        <f t="array" ref="T39">GetLongitude(U39)</f>
        <v>73.1445492</v>
      </c>
      <c r="U39" t="str">
        <f t="shared" si="0"/>
        <v>Jinnah Gardens, Faisalabad, PK</v>
      </c>
      <c r="V39" t="str" cm="1">
        <f t="array" ref="V39">GetCoordinates(U39)</f>
        <v>31.4246161, 73.1445492</v>
      </c>
      <c r="W39" s="13" cm="1">
        <f t="array" ref="W39">TravelTime(A39,U39,AB39)</f>
        <v>13354</v>
      </c>
      <c r="X39" s="13">
        <f t="shared" si="1"/>
        <v>222.56666666666666</v>
      </c>
      <c r="Y39" s="13" cm="1">
        <f t="array" ref="Y39">TravelDistance(A39,U39,AB39)</f>
        <v>319889</v>
      </c>
      <c r="Z39" s="13" t="str">
        <f t="shared" si="2"/>
        <v>319.89km</v>
      </c>
      <c r="AA39" s="14" t="s">
        <v>361</v>
      </c>
      <c r="AB39" t="s">
        <v>355</v>
      </c>
    </row>
    <row r="40" spans="1:28" ht="15" x14ac:dyDescent="0.25">
      <c r="A40" s="2" t="s">
        <v>18</v>
      </c>
      <c r="B40" s="6" t="s">
        <v>72</v>
      </c>
      <c r="D40" s="8" t="s">
        <v>92</v>
      </c>
      <c r="E40" s="4" t="s">
        <v>21</v>
      </c>
      <c r="F40" s="4" t="s">
        <v>93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>
        <v>1</v>
      </c>
      <c r="R40" s="5">
        <v>1</v>
      </c>
      <c r="S40" cm="1">
        <f t="array" ref="S40">GetLatitude(U40)</f>
        <v>31.478522099999999</v>
      </c>
      <c r="T40" cm="1">
        <f t="array" ref="T40">GetLongitude(U40)</f>
        <v>73.210183700000002</v>
      </c>
      <c r="U40" t="str">
        <f t="shared" si="0"/>
        <v>Gatwala Wildlife Park, Faisalabad, PK</v>
      </c>
      <c r="V40" t="str" cm="1">
        <f t="array" ref="V40">GetCoordinates(U40)</f>
        <v>31.4785221, 73.2101837</v>
      </c>
      <c r="W40" s="13" cm="1">
        <f t="array" ref="W40">TravelTime(A40,U40,AB40)</f>
        <v>12299</v>
      </c>
      <c r="X40" s="13">
        <f t="shared" si="1"/>
        <v>204.98333333333332</v>
      </c>
      <c r="Y40" s="13" cm="1">
        <f t="array" ref="Y40">TravelDistance(A40,U40,AB40)</f>
        <v>308999</v>
      </c>
      <c r="Z40" s="13" t="str">
        <f t="shared" si="2"/>
        <v>309km</v>
      </c>
      <c r="AA40" s="14" t="s">
        <v>361</v>
      </c>
      <c r="AB40" t="s">
        <v>355</v>
      </c>
    </row>
    <row r="41" spans="1:28" ht="15" x14ac:dyDescent="0.25">
      <c r="A41" s="2" t="s">
        <v>18</v>
      </c>
      <c r="B41" s="6" t="s">
        <v>72</v>
      </c>
      <c r="D41" s="3" t="s">
        <v>31</v>
      </c>
      <c r="E41" s="4" t="s">
        <v>95</v>
      </c>
      <c r="F41" s="4" t="s">
        <v>96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cm="1">
        <f t="array" ref="S41">GetLatitude(U41)</f>
        <v>31.412576300000001</v>
      </c>
      <c r="T41" cm="1">
        <f t="array" ref="T41">GetLongitude(U41)</f>
        <v>73.114884700000005</v>
      </c>
      <c r="U41" t="str">
        <f t="shared" si="0"/>
        <v>Kohinoor One, Faisalabad, PK</v>
      </c>
      <c r="V41" t="str" cm="1">
        <f t="array" ref="V41">GetCoordinates(U41)</f>
        <v>31.4125763, 73.1148847</v>
      </c>
      <c r="W41" s="13" cm="1">
        <f t="array" ref="W41">TravelTime(A41,U41,AB41)</f>
        <v>13415</v>
      </c>
      <c r="X41" s="13">
        <f t="shared" si="1"/>
        <v>223.58333333333334</v>
      </c>
      <c r="Y41" s="13" cm="1">
        <f t="array" ref="Y41">TravelDistance(A41,U41,AB41)</f>
        <v>321994</v>
      </c>
      <c r="Z41" s="13" t="str">
        <f t="shared" si="2"/>
        <v>321.99km</v>
      </c>
      <c r="AA41" s="14" t="s">
        <v>361</v>
      </c>
      <c r="AB41" t="s">
        <v>355</v>
      </c>
    </row>
    <row r="42" spans="1:28" ht="15" x14ac:dyDescent="0.25">
      <c r="A42" s="2" t="s">
        <v>18</v>
      </c>
      <c r="B42" s="6" t="s">
        <v>72</v>
      </c>
      <c r="D42" s="3" t="s">
        <v>31</v>
      </c>
      <c r="E42" s="4" t="s">
        <v>55</v>
      </c>
      <c r="F42" s="4" t="s">
        <v>98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 s="5">
        <v>1</v>
      </c>
      <c r="M42" s="5">
        <v>1</v>
      </c>
      <c r="N42" s="5">
        <v>1</v>
      </c>
      <c r="O42" s="5">
        <v>1</v>
      </c>
      <c r="P42" s="5">
        <v>1</v>
      </c>
      <c r="Q42" s="5">
        <v>1</v>
      </c>
      <c r="R42" s="5">
        <v>1</v>
      </c>
      <c r="S42" cm="1">
        <f t="array" ref="S42">GetLatitude(U42)</f>
        <v>31.450366200000001</v>
      </c>
      <c r="T42" cm="1">
        <f t="array" ref="T42">GetLongitude(U42)</f>
        <v>73.134960500000005</v>
      </c>
      <c r="U42" t="str">
        <f t="shared" si="0"/>
        <v>Abdulrehman resort, Faisalabad, PK</v>
      </c>
      <c r="V42" t="str" cm="1">
        <f t="array" ref="V42">GetCoordinates(U42)</f>
        <v>31.4503662, 73.1349605</v>
      </c>
      <c r="W42" s="13" cm="1">
        <f t="array" ref="W42">TravelTime(A42,U42,AB42)</f>
        <v>13298</v>
      </c>
      <c r="X42" s="13">
        <f t="shared" si="1"/>
        <v>221.63333333333333</v>
      </c>
      <c r="Y42" s="13" cm="1">
        <f t="array" ref="Y42">TravelDistance(A42,U42,AB42)</f>
        <v>319330</v>
      </c>
      <c r="Z42" s="13" t="str">
        <f t="shared" si="2"/>
        <v>319.33km</v>
      </c>
      <c r="AA42" s="14" t="s">
        <v>361</v>
      </c>
      <c r="AB42" t="s">
        <v>355</v>
      </c>
    </row>
    <row r="43" spans="1:28" ht="15" x14ac:dyDescent="0.25">
      <c r="A43" s="2" t="s">
        <v>18</v>
      </c>
      <c r="B43" s="6" t="s">
        <v>72</v>
      </c>
      <c r="D43" s="3" t="s">
        <v>31</v>
      </c>
      <c r="E43" s="4" t="s">
        <v>21</v>
      </c>
      <c r="F43" s="4" t="s">
        <v>90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 s="5">
        <v>1</v>
      </c>
      <c r="M43" s="5">
        <v>1</v>
      </c>
      <c r="N43" s="5">
        <v>1</v>
      </c>
      <c r="O43" s="5">
        <v>1</v>
      </c>
      <c r="P43" s="5">
        <v>1</v>
      </c>
      <c r="Q43" s="5">
        <v>1</v>
      </c>
      <c r="R43" s="5">
        <v>1</v>
      </c>
      <c r="S43" cm="1">
        <f t="array" ref="S43">GetLatitude(U43)</f>
        <v>31.424616100000001</v>
      </c>
      <c r="T43" cm="1">
        <f t="array" ref="T43">GetLongitude(U43)</f>
        <v>73.1445492</v>
      </c>
      <c r="U43" t="str">
        <f t="shared" si="0"/>
        <v>Jinnah Gardens, Faisalabad, PK</v>
      </c>
      <c r="V43" t="str" cm="1">
        <f t="array" ref="V43">GetCoordinates(U43)</f>
        <v>31.4246161, 73.1445492</v>
      </c>
      <c r="W43" s="13" cm="1">
        <f t="array" ref="W43">TravelTime(A43,U43,AB43)</f>
        <v>13354</v>
      </c>
      <c r="X43" s="13">
        <f t="shared" si="1"/>
        <v>222.56666666666666</v>
      </c>
      <c r="Y43" s="13" cm="1">
        <f t="array" ref="Y43">TravelDistance(A43,U43,AB43)</f>
        <v>319889</v>
      </c>
      <c r="Z43" s="13" t="str">
        <f t="shared" si="2"/>
        <v>319.89km</v>
      </c>
      <c r="AA43" s="14" t="s">
        <v>361</v>
      </c>
      <c r="AB43" t="s">
        <v>355</v>
      </c>
    </row>
    <row r="44" spans="1:28" ht="15" x14ac:dyDescent="0.25">
      <c r="A44" s="2" t="s">
        <v>18</v>
      </c>
      <c r="B44" s="6" t="s">
        <v>72</v>
      </c>
      <c r="D44" s="3" t="s">
        <v>31</v>
      </c>
      <c r="E44" s="4" t="s">
        <v>95</v>
      </c>
      <c r="F44" s="4" t="s">
        <v>100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cm="1">
        <f t="array" ref="S44">GetLatitude(U44)</f>
        <v>31.403548399999998</v>
      </c>
      <c r="T44" cm="1">
        <f t="array" ref="T44">GetLongitude(U44)</f>
        <v>73.1064334</v>
      </c>
      <c r="U44" t="str">
        <f t="shared" si="0"/>
        <v>Sitara Mall, Faisalabad, PK</v>
      </c>
      <c r="V44" t="str" cm="1">
        <f t="array" ref="V44">GetCoordinates(U44)</f>
        <v>31.4035484, 73.1064334</v>
      </c>
      <c r="W44" s="13" cm="1">
        <f t="array" ref="W44">TravelTime(A44,U44,AB44)</f>
        <v>13636</v>
      </c>
      <c r="X44" s="13">
        <f t="shared" si="1"/>
        <v>227.26666666666668</v>
      </c>
      <c r="Y44" s="13" cm="1">
        <f t="array" ref="Y44">TravelDistance(A44,U44,AB44)</f>
        <v>323727</v>
      </c>
      <c r="Z44" s="13" t="str">
        <f t="shared" si="2"/>
        <v>323.73km</v>
      </c>
      <c r="AA44" s="14" t="s">
        <v>361</v>
      </c>
      <c r="AB44" t="s">
        <v>355</v>
      </c>
    </row>
    <row r="45" spans="1:28" ht="15" x14ac:dyDescent="0.25">
      <c r="A45" s="2" t="s">
        <v>18</v>
      </c>
      <c r="B45" s="6" t="s">
        <v>72</v>
      </c>
      <c r="D45" s="3" t="s">
        <v>28</v>
      </c>
      <c r="E45" s="4" t="s">
        <v>78</v>
      </c>
      <c r="F45" s="4" t="s">
        <v>101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cm="1">
        <f t="array" ref="S45">GetLatitude(U45)</f>
        <v>31.425472599999999</v>
      </c>
      <c r="T45" cm="1">
        <f t="array" ref="T45">GetLongitude(U45)</f>
        <v>73.087470499999995</v>
      </c>
      <c r="U45" t="str">
        <f t="shared" si="0"/>
        <v>Sir Charles James Lyall Monument, Faisalabad, PK</v>
      </c>
      <c r="V45" t="str" cm="1">
        <f t="array" ref="V45">GetCoordinates(U45)</f>
        <v>31.4254726, 73.0874705</v>
      </c>
      <c r="W45" s="13" cm="1">
        <f t="array" ref="W45">TravelTime(A45,U45,AB45)</f>
        <v>13367</v>
      </c>
      <c r="X45" s="13">
        <f t="shared" si="1"/>
        <v>222.78333333333333</v>
      </c>
      <c r="Y45" s="13" cm="1">
        <f t="array" ref="Y45">TravelDistance(A45,U45,AB45)</f>
        <v>320046</v>
      </c>
      <c r="Z45" s="13" t="str">
        <f t="shared" si="2"/>
        <v>320.05km</v>
      </c>
      <c r="AA45" s="14" t="s">
        <v>361</v>
      </c>
      <c r="AB45" t="s">
        <v>355</v>
      </c>
    </row>
    <row r="46" spans="1:28" ht="15" x14ac:dyDescent="0.25">
      <c r="A46" s="2" t="s">
        <v>18</v>
      </c>
      <c r="B46" s="6" t="s">
        <v>72</v>
      </c>
      <c r="D46" s="3" t="s">
        <v>82</v>
      </c>
      <c r="E46" s="4" t="s">
        <v>55</v>
      </c>
      <c r="F46" s="4" t="s">
        <v>102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cm="1">
        <f t="array" ref="S46">GetLatitude(U46)</f>
        <v>31.439809</v>
      </c>
      <c r="T46" cm="1">
        <f t="array" ref="T46">GetLongitude(U46)</f>
        <v>73.132282500000002</v>
      </c>
      <c r="U46" t="str">
        <f t="shared" si="0"/>
        <v>Aqua Land Water Park Majorca, Faisalabad, PK</v>
      </c>
      <c r="V46" t="str" cm="1">
        <f t="array" ref="V46">GetCoordinates(U46)</f>
        <v>31.4398090, 73.1322825</v>
      </c>
      <c r="W46" s="13" cm="1">
        <f t="array" ref="W46">TravelTime(A46,U46,AB46)</f>
        <v>12960</v>
      </c>
      <c r="X46" s="13">
        <f t="shared" si="1"/>
        <v>216</v>
      </c>
      <c r="Y46" s="13" cm="1">
        <f t="array" ref="Y46">TravelDistance(A46,U46,AB46)</f>
        <v>317521</v>
      </c>
      <c r="Z46" s="13" t="str">
        <f t="shared" si="2"/>
        <v>317.52km</v>
      </c>
      <c r="AA46" s="14" t="s">
        <v>361</v>
      </c>
      <c r="AB46" t="s">
        <v>355</v>
      </c>
    </row>
    <row r="47" spans="1:28" ht="15" x14ac:dyDescent="0.25">
      <c r="A47" s="2" t="s">
        <v>18</v>
      </c>
      <c r="B47" s="6" t="s">
        <v>72</v>
      </c>
      <c r="D47" s="3" t="s">
        <v>28</v>
      </c>
      <c r="E47" s="4" t="s">
        <v>103</v>
      </c>
      <c r="F47" s="4" t="s">
        <v>104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cm="1">
        <f t="array" ref="S47">GetLatitude(U47)</f>
        <v>31.421836299999999</v>
      </c>
      <c r="T47" cm="1">
        <f t="array" ref="T47">GetLongitude(U47)</f>
        <v>73.083663099999995</v>
      </c>
      <c r="U47" t="str">
        <f t="shared" si="0"/>
        <v>Lyallpur Museum, Faisalabad, PK</v>
      </c>
      <c r="V47" t="str" cm="1">
        <f t="array" ref="V47">GetCoordinates(U47)</f>
        <v>31.4218363, 73.0836631</v>
      </c>
      <c r="W47" s="13" cm="1">
        <f t="array" ref="W47">TravelTime(A47,U47,AB47)</f>
        <v>13369</v>
      </c>
      <c r="X47" s="13">
        <f t="shared" si="1"/>
        <v>222.81666666666666</v>
      </c>
      <c r="Y47" s="13" cm="1">
        <f t="array" ref="Y47">TravelDistance(A47,U47,AB47)</f>
        <v>320443</v>
      </c>
      <c r="Z47" s="13" t="str">
        <f t="shared" si="2"/>
        <v>320.44km</v>
      </c>
      <c r="AA47" s="14" t="s">
        <v>361</v>
      </c>
      <c r="AB47" t="s">
        <v>355</v>
      </c>
    </row>
    <row r="48" spans="1:28" ht="15" x14ac:dyDescent="0.25">
      <c r="A48" s="2" t="s">
        <v>18</v>
      </c>
      <c r="B48" s="6" t="s">
        <v>72</v>
      </c>
      <c r="D48" s="3" t="s">
        <v>31</v>
      </c>
      <c r="E48" s="4" t="s">
        <v>21</v>
      </c>
      <c r="F48" s="4" t="s">
        <v>105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cm="1">
        <f t="array" ref="S48">GetLatitude(U48)</f>
        <v>31.406549900000002</v>
      </c>
      <c r="T48" cm="1">
        <f t="array" ref="T48">GetLongitude(U48)</f>
        <v>73.110446300000007</v>
      </c>
      <c r="U48" t="str">
        <f t="shared" si="0"/>
        <v>D Ground Park, Faisalabad, PK</v>
      </c>
      <c r="V48" t="str" cm="1">
        <f t="array" ref="V48">GetCoordinates(U48)</f>
        <v>31.4065499, 73.1104463</v>
      </c>
      <c r="W48" s="13" cm="1">
        <f t="array" ref="W48">TravelTime(A48,U48,AB48)</f>
        <v>13548</v>
      </c>
      <c r="X48" s="13">
        <f t="shared" si="1"/>
        <v>225.8</v>
      </c>
      <c r="Y48" s="13" cm="1">
        <f t="array" ref="Y48">TravelDistance(A48,U48,AB48)</f>
        <v>323194</v>
      </c>
      <c r="Z48" s="13" t="str">
        <f t="shared" si="2"/>
        <v>323.19km</v>
      </c>
      <c r="AA48" s="14" t="s">
        <v>361</v>
      </c>
      <c r="AB48" t="s">
        <v>355</v>
      </c>
    </row>
    <row r="49" spans="1:28" ht="15" x14ac:dyDescent="0.25">
      <c r="A49" s="2" t="s">
        <v>18</v>
      </c>
      <c r="B49" s="6" t="s">
        <v>72</v>
      </c>
      <c r="D49" s="3" t="s">
        <v>28</v>
      </c>
      <c r="E49" s="4" t="s">
        <v>106</v>
      </c>
      <c r="F49" s="4" t="s">
        <v>107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cm="1">
        <f t="array" ref="S49">GetLatitude(U49)</f>
        <v>31.419415399999998</v>
      </c>
      <c r="T49" cm="1">
        <f t="array" ref="T49">GetLongitude(U49)</f>
        <v>73.080371299999996</v>
      </c>
      <c r="U49" t="str">
        <f t="shared" si="0"/>
        <v>Clock Tower, Faisalabad, PK</v>
      </c>
      <c r="V49" t="str" cm="1">
        <f t="array" ref="V49">GetCoordinates(U49)</f>
        <v>31.4194154, 73.0803713</v>
      </c>
      <c r="W49" s="13" cm="1">
        <f t="array" ref="W49">TravelTime(A49,U49,AB49)</f>
        <v>13441</v>
      </c>
      <c r="X49" s="13">
        <f t="shared" si="1"/>
        <v>224.01666666666668</v>
      </c>
      <c r="Y49" s="13" cm="1">
        <f t="array" ref="Y49">TravelDistance(A49,U49,AB49)</f>
        <v>320349</v>
      </c>
      <c r="Z49" s="13" t="str">
        <f t="shared" si="2"/>
        <v>320.35km</v>
      </c>
      <c r="AA49" s="14" t="s">
        <v>361</v>
      </c>
      <c r="AB49" t="s">
        <v>355</v>
      </c>
    </row>
    <row r="50" spans="1:28" ht="15" x14ac:dyDescent="0.25">
      <c r="A50" s="2" t="s">
        <v>18</v>
      </c>
      <c r="B50" s="6" t="s">
        <v>72</v>
      </c>
      <c r="D50" s="3" t="s">
        <v>31</v>
      </c>
      <c r="E50" s="4" t="s">
        <v>21</v>
      </c>
      <c r="F50" s="4" t="s">
        <v>108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cm="1">
        <f t="array" ref="S50">GetLatitude(U50)</f>
        <v>31.396359</v>
      </c>
      <c r="T50" cm="1">
        <f t="array" ref="T50">GetLongitude(U50)</f>
        <v>73.096772000000001</v>
      </c>
      <c r="U50" t="str">
        <f t="shared" si="0"/>
        <v>Pahari Grounds, Faisalabad, PK</v>
      </c>
      <c r="V50" t="str" cm="1">
        <f t="array" ref="V50">GetCoordinates(U50)</f>
        <v>31.3963590, 73.0967720</v>
      </c>
      <c r="W50" s="13" cm="1">
        <f t="array" ref="W50">TravelTime(A50,U50,AB50)</f>
        <v>13643</v>
      </c>
      <c r="X50" s="13">
        <f t="shared" si="1"/>
        <v>227.38333333333333</v>
      </c>
      <c r="Y50" s="13" cm="1">
        <f t="array" ref="Y50">TravelDistance(A50,U50,AB50)</f>
        <v>324639</v>
      </c>
      <c r="Z50" s="13" t="str">
        <f t="shared" si="2"/>
        <v>324.64km</v>
      </c>
      <c r="AA50" s="14" t="s">
        <v>361</v>
      </c>
      <c r="AB50" t="s">
        <v>355</v>
      </c>
    </row>
    <row r="51" spans="1:28" ht="15" x14ac:dyDescent="0.25">
      <c r="A51" s="2" t="s">
        <v>18</v>
      </c>
      <c r="B51" s="2" t="s">
        <v>109</v>
      </c>
      <c r="D51" s="3" t="s">
        <v>64</v>
      </c>
      <c r="E51" s="4" t="s">
        <v>21</v>
      </c>
      <c r="F51" s="4" t="s">
        <v>110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0</v>
      </c>
      <c r="P51" s="5">
        <v>0</v>
      </c>
      <c r="Q51" s="5">
        <v>0</v>
      </c>
      <c r="R51" s="5">
        <v>0</v>
      </c>
      <c r="S51" cm="1">
        <f t="array" ref="S51">GetLatitude(U51)</f>
        <v>36.317255400000001</v>
      </c>
      <c r="T51" cm="1">
        <f t="array" ref="T51">GetLongitude(U51)</f>
        <v>74.681167200000004</v>
      </c>
      <c r="U51" t="str">
        <f t="shared" si="0"/>
        <v>Altit Fort, Hunza, PK</v>
      </c>
      <c r="V51" t="str" cm="1">
        <f t="array" ref="V51">GetCoordinates(U51)</f>
        <v>36.3172554, 74.6811672</v>
      </c>
      <c r="W51" s="13" t="e" cm="1">
        <f t="array" ref="W51">TravelTime(A51,U51,AB51)</f>
        <v>#VALUE!</v>
      </c>
      <c r="X51" s="13" t="e">
        <f t="shared" si="1"/>
        <v>#VALUE!</v>
      </c>
      <c r="Y51" s="13" cm="1">
        <f t="array" ref="Y51">TravelDistance(A51,U51,AB51)</f>
        <v>604393</v>
      </c>
      <c r="Z51" s="13" t="str">
        <f t="shared" si="2"/>
        <v>604.39km</v>
      </c>
      <c r="AA51" s="14" t="s">
        <v>361</v>
      </c>
      <c r="AB51" t="s">
        <v>362</v>
      </c>
    </row>
    <row r="52" spans="1:28" ht="15" x14ac:dyDescent="0.25">
      <c r="A52" s="2" t="s">
        <v>18</v>
      </c>
      <c r="B52" s="2" t="s">
        <v>109</v>
      </c>
      <c r="D52" s="3" t="s">
        <v>111</v>
      </c>
      <c r="E52" s="4" t="s">
        <v>21</v>
      </c>
      <c r="F52" s="4" t="s">
        <v>112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0</v>
      </c>
      <c r="P52" s="5">
        <v>0</v>
      </c>
      <c r="Q52" s="5">
        <v>0</v>
      </c>
      <c r="R52" s="5">
        <v>0</v>
      </c>
      <c r="S52" cm="1">
        <f t="array" ref="S52">GetLatitude(U52)</f>
        <v>36.316665999999998</v>
      </c>
      <c r="T52" cm="1">
        <f t="array" ref="T52">GetLongitude(U52)</f>
        <v>74.649986299999995</v>
      </c>
      <c r="U52" t="str">
        <f t="shared" si="0"/>
        <v>Patundas Meadows, Hunza, PK</v>
      </c>
      <c r="V52" t="str" cm="1">
        <f t="array" ref="V52">GetCoordinates(U52)</f>
        <v>36.3166660, 74.6499863</v>
      </c>
      <c r="W52" s="13" t="e" cm="1">
        <f t="array" ref="W52">TravelTime(A52,U52,AB52)</f>
        <v>#VALUE!</v>
      </c>
      <c r="X52" s="13" t="e">
        <f t="shared" si="1"/>
        <v>#VALUE!</v>
      </c>
      <c r="Y52" s="13" cm="1">
        <f t="array" ref="Y52">TravelDistance(A52,U52,AB52)</f>
        <v>598633</v>
      </c>
      <c r="Z52" s="13" t="str">
        <f t="shared" si="2"/>
        <v>598.63km</v>
      </c>
      <c r="AA52" s="14" t="s">
        <v>361</v>
      </c>
      <c r="AB52" t="s">
        <v>362</v>
      </c>
    </row>
    <row r="53" spans="1:28" ht="15" x14ac:dyDescent="0.25">
      <c r="A53" s="2" t="s">
        <v>18</v>
      </c>
      <c r="B53" s="2" t="s">
        <v>109</v>
      </c>
      <c r="D53" s="3" t="s">
        <v>113</v>
      </c>
      <c r="E53" s="4" t="s">
        <v>114</v>
      </c>
      <c r="F53" s="4" t="s">
        <v>363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0</v>
      </c>
      <c r="P53" s="5">
        <v>0</v>
      </c>
      <c r="Q53" s="5">
        <v>0</v>
      </c>
      <c r="R53" s="5">
        <v>0</v>
      </c>
      <c r="S53" cm="1">
        <f t="array" ref="S53">GetLatitude(U53)</f>
        <v>36.316665999999998</v>
      </c>
      <c r="T53" cm="1">
        <f t="array" ref="T53">GetLongitude(U53)</f>
        <v>74.649986299999995</v>
      </c>
      <c r="U53" t="str">
        <f t="shared" si="0"/>
        <v>Hoper Valley, Hunza, PK</v>
      </c>
      <c r="V53" t="str" cm="1">
        <f t="array" ref="V53">GetCoordinates(U53)</f>
        <v>36.3166660, 74.6499863</v>
      </c>
      <c r="W53" s="13" t="e" cm="1">
        <f t="array" ref="W53">TravelTime(A53,U53,AB53)</f>
        <v>#VALUE!</v>
      </c>
      <c r="X53" s="13" t="e">
        <f t="shared" si="1"/>
        <v>#VALUE!</v>
      </c>
      <c r="Y53" s="13" cm="1">
        <f t="array" ref="Y53">TravelDistance(A53,U53,AB53)</f>
        <v>598633</v>
      </c>
      <c r="Z53" s="13" t="str">
        <f t="shared" si="2"/>
        <v>598.63km</v>
      </c>
      <c r="AA53" s="14" t="s">
        <v>361</v>
      </c>
      <c r="AB53" t="s">
        <v>362</v>
      </c>
    </row>
    <row r="54" spans="1:28" ht="15" x14ac:dyDescent="0.25">
      <c r="A54" s="2" t="s">
        <v>18</v>
      </c>
      <c r="B54" s="2" t="s">
        <v>109</v>
      </c>
      <c r="D54" s="3" t="s">
        <v>54</v>
      </c>
      <c r="E54" s="4" t="s">
        <v>115</v>
      </c>
      <c r="F54" s="4" t="s">
        <v>116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 s="5">
        <v>1</v>
      </c>
      <c r="M54" s="5">
        <v>1</v>
      </c>
      <c r="N54" s="5">
        <v>1</v>
      </c>
      <c r="O54" s="5">
        <v>0</v>
      </c>
      <c r="P54" s="5">
        <v>0</v>
      </c>
      <c r="Q54" s="5">
        <v>0</v>
      </c>
      <c r="R54" s="5">
        <v>0</v>
      </c>
      <c r="S54" cm="1">
        <f t="array" ref="S54">GetLatitude(U54)</f>
        <v>36.316665999999998</v>
      </c>
      <c r="T54" cm="1">
        <f t="array" ref="T54">GetLongitude(U54)</f>
        <v>74.649985999999998</v>
      </c>
      <c r="U54" t="str">
        <f t="shared" si="0"/>
        <v>Borith Lake, Hunza, PK</v>
      </c>
      <c r="V54" t="str" cm="1">
        <f t="array" ref="V54">GetCoordinates(U54)</f>
        <v>36.3166660, 74.6499860</v>
      </c>
      <c r="W54" s="13" t="e" cm="1">
        <f t="array" ref="W54">TravelTime(A54,U54,AB54)</f>
        <v>#VALUE!</v>
      </c>
      <c r="X54" s="13" t="e">
        <f t="shared" si="1"/>
        <v>#VALUE!</v>
      </c>
      <c r="Y54" s="13" cm="1">
        <f t="array" ref="Y54">TravelDistance(A54,U54,AB54)</f>
        <v>598633</v>
      </c>
      <c r="Z54" s="13" t="str">
        <f t="shared" si="2"/>
        <v>598.63km</v>
      </c>
      <c r="AA54" s="14" t="s">
        <v>361</v>
      </c>
      <c r="AB54" t="s">
        <v>362</v>
      </c>
    </row>
    <row r="55" spans="1:28" ht="15" x14ac:dyDescent="0.25">
      <c r="A55" s="2" t="s">
        <v>18</v>
      </c>
      <c r="B55" s="2" t="s">
        <v>109</v>
      </c>
      <c r="D55" s="3" t="s">
        <v>117</v>
      </c>
      <c r="E55" s="4" t="s">
        <v>118</v>
      </c>
      <c r="F55" s="4" t="s">
        <v>119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 s="5">
        <v>1</v>
      </c>
      <c r="M55" s="5">
        <v>1</v>
      </c>
      <c r="N55" s="5">
        <v>1</v>
      </c>
      <c r="O55" s="5">
        <v>0</v>
      </c>
      <c r="P55" s="5">
        <v>0</v>
      </c>
      <c r="Q55" s="5">
        <v>0</v>
      </c>
      <c r="R55" s="5">
        <v>0</v>
      </c>
      <c r="S55" cm="1">
        <f t="array" ref="S55">GetLatitude(U55)</f>
        <v>36.816667000000002</v>
      </c>
      <c r="T55" cm="1">
        <f t="array" ref="T55">GetLongitude(U55)</f>
        <v>74.716667000000001</v>
      </c>
      <c r="U55" t="str">
        <f t="shared" si="0"/>
        <v>Kalam Darchi Fort, Hunza, PK</v>
      </c>
      <c r="V55" t="str" cm="1">
        <f t="array" ref="V55">GetCoordinates(U55)</f>
        <v>36.8166670, 74.7166670</v>
      </c>
      <c r="W55" s="13" t="e" cm="1">
        <f t="array" ref="W55">TravelTime(A55,U55,AB55)</f>
        <v>#VALUE!</v>
      </c>
      <c r="X55" s="13" t="e">
        <f t="shared" si="1"/>
        <v>#VALUE!</v>
      </c>
      <c r="Y55" s="13" cm="1">
        <f t="array" ref="Y55">TravelDistance(A55,U55,AB55)</f>
        <v>703636</v>
      </c>
      <c r="Z55" s="13" t="str">
        <f t="shared" si="2"/>
        <v>703.64km</v>
      </c>
      <c r="AA55" s="14" t="s">
        <v>361</v>
      </c>
      <c r="AB55" t="s">
        <v>362</v>
      </c>
    </row>
    <row r="56" spans="1:28" ht="15" x14ac:dyDescent="0.25">
      <c r="A56" s="2" t="s">
        <v>18</v>
      </c>
      <c r="B56" s="2" t="s">
        <v>109</v>
      </c>
      <c r="D56" s="3" t="s">
        <v>117</v>
      </c>
      <c r="E56" s="4" t="s">
        <v>120</v>
      </c>
      <c r="F56" s="4" t="s">
        <v>110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 s="5">
        <v>1</v>
      </c>
      <c r="M56" s="5">
        <v>1</v>
      </c>
      <c r="N56" s="5">
        <v>1</v>
      </c>
      <c r="O56" s="5">
        <v>0</v>
      </c>
      <c r="P56" s="5">
        <v>0</v>
      </c>
      <c r="Q56" s="5">
        <v>0</v>
      </c>
      <c r="R56" s="5">
        <v>0</v>
      </c>
      <c r="S56" cm="1">
        <f t="array" ref="S56">GetLatitude(U56)</f>
        <v>36.317255400000001</v>
      </c>
      <c r="T56" cm="1">
        <f t="array" ref="T56">GetLongitude(U56)</f>
        <v>74.681167200000004</v>
      </c>
      <c r="U56" t="str">
        <f t="shared" si="0"/>
        <v>Altit Fort, Hunza, PK</v>
      </c>
      <c r="V56" t="str" cm="1">
        <f t="array" ref="V56">GetCoordinates(U56)</f>
        <v>36.3172554, 74.6811672</v>
      </c>
      <c r="W56" s="13" t="e" cm="1">
        <f t="array" ref="W56">TravelTime(A56,U56,AB56)</f>
        <v>#VALUE!</v>
      </c>
      <c r="X56" s="13" t="e">
        <f t="shared" si="1"/>
        <v>#VALUE!</v>
      </c>
      <c r="Y56" s="13" cm="1">
        <f t="array" ref="Y56">TravelDistance(A56,U56,AB56)</f>
        <v>604393</v>
      </c>
      <c r="Z56" s="13" t="str">
        <f t="shared" si="2"/>
        <v>604.39km</v>
      </c>
      <c r="AA56" s="14" t="s">
        <v>361</v>
      </c>
      <c r="AB56" t="s">
        <v>362</v>
      </c>
    </row>
    <row r="57" spans="1:28" ht="15" x14ac:dyDescent="0.25">
      <c r="A57" s="2" t="s">
        <v>18</v>
      </c>
      <c r="B57" s="2" t="s">
        <v>109</v>
      </c>
      <c r="D57" s="3" t="s">
        <v>54</v>
      </c>
      <c r="E57" s="4" t="s">
        <v>29</v>
      </c>
      <c r="F57" s="4" t="s">
        <v>121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 s="5">
        <v>1</v>
      </c>
      <c r="M57" s="5">
        <v>1</v>
      </c>
      <c r="N57" s="5">
        <v>1</v>
      </c>
      <c r="O57" s="5">
        <v>0</v>
      </c>
      <c r="P57" s="5">
        <v>0</v>
      </c>
      <c r="Q57" s="5">
        <v>0</v>
      </c>
      <c r="R57" s="5">
        <v>0</v>
      </c>
      <c r="S57" cm="1">
        <f t="array" ref="S57">GetLatitude(U57)</f>
        <v>36.435922099999999</v>
      </c>
      <c r="T57" cm="1">
        <f t="array" ref="T57">GetLongitude(U57)</f>
        <v>75.326641600000002</v>
      </c>
      <c r="U57" t="str">
        <f t="shared" si="0"/>
        <v>Shim Shal, Hunza, PK</v>
      </c>
      <c r="V57" t="str" cm="1">
        <f t="array" ref="V57">GetCoordinates(U57)</f>
        <v>36.4359221, 75.3266416</v>
      </c>
      <c r="W57" s="13" t="e" cm="1">
        <f t="array" ref="W57">TravelTime(A57,U57,AB57)</f>
        <v>#VALUE!</v>
      </c>
      <c r="X57" s="13" t="e">
        <f t="shared" si="1"/>
        <v>#VALUE!</v>
      </c>
      <c r="Y57" s="13" cm="1">
        <f t="array" ref="Y57">TravelDistance(A57,U57,AB57)</f>
        <v>708424</v>
      </c>
      <c r="Z57" s="13" t="str">
        <f t="shared" si="2"/>
        <v>708.42km</v>
      </c>
      <c r="AA57" s="14" t="s">
        <v>361</v>
      </c>
      <c r="AB57" t="s">
        <v>362</v>
      </c>
    </row>
    <row r="58" spans="1:28" ht="15" x14ac:dyDescent="0.25">
      <c r="A58" s="2" t="s">
        <v>18</v>
      </c>
      <c r="B58" s="2" t="s">
        <v>109</v>
      </c>
      <c r="D58" s="3" t="s">
        <v>24</v>
      </c>
      <c r="E58" s="4" t="s">
        <v>21</v>
      </c>
      <c r="F58" s="4" t="s">
        <v>363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 s="5">
        <v>1</v>
      </c>
      <c r="M58" s="5">
        <v>1</v>
      </c>
      <c r="N58" s="5">
        <v>1</v>
      </c>
      <c r="O58" s="5">
        <v>0</v>
      </c>
      <c r="P58" s="5">
        <v>0</v>
      </c>
      <c r="Q58" s="5">
        <v>0</v>
      </c>
      <c r="R58" s="5">
        <v>0</v>
      </c>
      <c r="S58" cm="1">
        <f t="array" ref="S58">GetLatitude(U58)</f>
        <v>36.316665999999998</v>
      </c>
      <c r="T58" cm="1">
        <f t="array" ref="T58">GetLongitude(U58)</f>
        <v>74.649986299999995</v>
      </c>
      <c r="U58" t="str">
        <f>F58&amp;", "&amp;B58&amp;", "&amp;AA58</f>
        <v>Hoper Valley, Hunza, PK</v>
      </c>
      <c r="V58" t="str" cm="1">
        <f t="array" ref="V58">GetCoordinates(U58)</f>
        <v>36.3166660, 74.6499863</v>
      </c>
      <c r="W58" s="13" t="e" cm="1">
        <f t="array" ref="W58">TravelTime(A58,U58,AB58)</f>
        <v>#VALUE!</v>
      </c>
      <c r="X58" s="13" t="e">
        <f t="shared" si="1"/>
        <v>#VALUE!</v>
      </c>
      <c r="Y58" s="13" cm="1">
        <f t="array" ref="Y58">TravelDistance(A58,U58,AB58)</f>
        <v>598633</v>
      </c>
      <c r="Z58" s="13" t="str">
        <f t="shared" si="2"/>
        <v>598.63km</v>
      </c>
      <c r="AA58" s="14" t="s">
        <v>361</v>
      </c>
      <c r="AB58" t="s">
        <v>362</v>
      </c>
    </row>
    <row r="59" spans="1:28" ht="15" x14ac:dyDescent="0.25">
      <c r="A59" s="2" t="s">
        <v>18</v>
      </c>
      <c r="B59" s="2" t="s">
        <v>109</v>
      </c>
      <c r="D59" s="3" t="s">
        <v>24</v>
      </c>
      <c r="E59" s="4" t="s">
        <v>21</v>
      </c>
      <c r="F59" s="4" t="s">
        <v>122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 s="5">
        <v>1</v>
      </c>
      <c r="M59" s="5">
        <v>1</v>
      </c>
      <c r="N59" s="5">
        <v>1</v>
      </c>
      <c r="O59" s="5">
        <v>0</v>
      </c>
      <c r="P59" s="5">
        <v>0</v>
      </c>
      <c r="Q59" s="5">
        <v>0</v>
      </c>
      <c r="R59" s="5">
        <v>0</v>
      </c>
      <c r="S59" cm="1">
        <f t="array" ref="S59">GetLatitude(U59)</f>
        <v>36.469764499999997</v>
      </c>
      <c r="T59" cm="1">
        <f t="array" ref="T59">GetLongitude(U59)</f>
        <v>74.773205599999997</v>
      </c>
      <c r="U59" t="str">
        <f t="shared" si="0"/>
        <v>Passu Glacier, Hunza, PK</v>
      </c>
      <c r="V59" t="str" cm="1">
        <f t="array" ref="V59">GetCoordinates(U59)</f>
        <v>36.4697645, 74.7732056</v>
      </c>
      <c r="W59" s="13" t="e" cm="1">
        <f t="array" ref="W59">TravelTime(A59,U59,AB59)</f>
        <v>#VALUE!</v>
      </c>
      <c r="X59" s="13" t="e">
        <f t="shared" si="1"/>
        <v>#VALUE!</v>
      </c>
      <c r="Y59" s="13" t="e" cm="1">
        <f t="array" ref="Y59">TravelDistance(A59,U59,AB59)</f>
        <v>#VALUE!</v>
      </c>
      <c r="Z59" s="13" t="e">
        <f t="shared" si="2"/>
        <v>#VALUE!</v>
      </c>
      <c r="AA59" s="14" t="s">
        <v>361</v>
      </c>
      <c r="AB59" t="s">
        <v>362</v>
      </c>
    </row>
    <row r="60" spans="1:28" ht="15" x14ac:dyDescent="0.25">
      <c r="A60" s="2" t="s">
        <v>18</v>
      </c>
      <c r="B60" s="2" t="s">
        <v>109</v>
      </c>
      <c r="D60" s="3" t="s">
        <v>24</v>
      </c>
      <c r="E60" s="4" t="s">
        <v>21</v>
      </c>
      <c r="F60" s="4" t="s">
        <v>123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 s="5">
        <v>1</v>
      </c>
      <c r="M60" s="5">
        <v>1</v>
      </c>
      <c r="N60" s="5">
        <v>1</v>
      </c>
      <c r="O60" s="5">
        <v>0</v>
      </c>
      <c r="P60" s="5">
        <v>0</v>
      </c>
      <c r="Q60" s="5">
        <v>0</v>
      </c>
      <c r="R60" s="5">
        <v>0</v>
      </c>
      <c r="S60" cm="1">
        <f t="array" ref="S60">GetLatitude(U60)</f>
        <v>36.540898499999997</v>
      </c>
      <c r="T60" cm="1">
        <f t="array" ref="T60">GetLongitude(U60)</f>
        <v>74.681027400000005</v>
      </c>
      <c r="U60" t="str">
        <f t="shared" si="0"/>
        <v>Batura Glacier, Hunza, PK</v>
      </c>
      <c r="V60" t="str" cm="1">
        <f t="array" ref="V60">GetCoordinates(U60)</f>
        <v>36.5408985, 74.6810274</v>
      </c>
      <c r="W60" s="13" t="e" cm="1">
        <f t="array" ref="W60">TravelTime(A60,U60,AB60)</f>
        <v>#VALUE!</v>
      </c>
      <c r="X60" s="13" t="e">
        <f t="shared" si="1"/>
        <v>#VALUE!</v>
      </c>
      <c r="Y60" s="13" t="e" cm="1">
        <f t="array" ref="Y60">TravelDistance(A60,U60,AB60)</f>
        <v>#VALUE!</v>
      </c>
      <c r="Z60" s="13" t="e">
        <f t="shared" si="2"/>
        <v>#VALUE!</v>
      </c>
      <c r="AA60" s="14" t="s">
        <v>361</v>
      </c>
      <c r="AB60" t="s">
        <v>362</v>
      </c>
    </row>
    <row r="61" spans="1:28" ht="15" x14ac:dyDescent="0.25">
      <c r="A61" s="2" t="s">
        <v>18</v>
      </c>
      <c r="B61" s="2" t="s">
        <v>109</v>
      </c>
      <c r="D61" s="3" t="s">
        <v>54</v>
      </c>
      <c r="E61" s="4" t="s">
        <v>21</v>
      </c>
      <c r="F61" s="4" t="s">
        <v>124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 s="5">
        <v>1</v>
      </c>
      <c r="M61" s="5">
        <v>1</v>
      </c>
      <c r="N61" s="5">
        <v>1</v>
      </c>
      <c r="O61" s="5">
        <v>0</v>
      </c>
      <c r="P61" s="5">
        <v>0</v>
      </c>
      <c r="Q61" s="5">
        <v>0</v>
      </c>
      <c r="R61" s="5">
        <v>0</v>
      </c>
      <c r="S61" cm="1">
        <f t="array" ref="S61">GetLatitude(U61)</f>
        <v>36.316665999999998</v>
      </c>
      <c r="T61" cm="1">
        <f t="array" ref="T61">GetLongitude(U61)</f>
        <v>74.649986299999995</v>
      </c>
      <c r="U61" t="str">
        <f t="shared" si="0"/>
        <v>Gojal Valley, Hunza, PK</v>
      </c>
      <c r="V61" t="str" cm="1">
        <f t="array" ref="V61">GetCoordinates(U61)</f>
        <v>36.3166660, 74.6499863</v>
      </c>
      <c r="W61" s="13" t="e" cm="1">
        <f t="array" ref="W61">TravelTime(A61,U61,AB61)</f>
        <v>#VALUE!</v>
      </c>
      <c r="X61" s="13" t="e">
        <f t="shared" si="1"/>
        <v>#VALUE!</v>
      </c>
      <c r="Y61" s="13" cm="1">
        <f t="array" ref="Y61">TravelDistance(A61,U61,AB61)</f>
        <v>598633</v>
      </c>
      <c r="Z61" s="13" t="str">
        <f t="shared" si="2"/>
        <v>598.63km</v>
      </c>
      <c r="AA61" s="14" t="s">
        <v>361</v>
      </c>
      <c r="AB61" t="s">
        <v>362</v>
      </c>
    </row>
    <row r="62" spans="1:28" ht="15" x14ac:dyDescent="0.25">
      <c r="A62" s="2" t="s">
        <v>18</v>
      </c>
      <c r="B62" s="2" t="s">
        <v>109</v>
      </c>
      <c r="D62" s="3" t="s">
        <v>113</v>
      </c>
      <c r="E62" s="4" t="s">
        <v>29</v>
      </c>
      <c r="F62" s="4" t="s">
        <v>125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0</v>
      </c>
      <c r="P62" s="5">
        <v>0</v>
      </c>
      <c r="Q62" s="5">
        <v>0</v>
      </c>
      <c r="R62" s="5">
        <v>0</v>
      </c>
      <c r="S62" cm="1">
        <f t="array" ref="S62">GetLatitude(U62)</f>
        <v>36.423261599999996</v>
      </c>
      <c r="T62" cm="1">
        <f t="array" ref="T62">GetLongitude(U62)</f>
        <v>74.881449900000007</v>
      </c>
      <c r="U62" t="str">
        <f t="shared" si="0"/>
        <v>Hussaini Hanging Bridge, Hunza, PK</v>
      </c>
      <c r="V62" t="str" cm="1">
        <f t="array" ref="V62">GetCoordinates(U62)</f>
        <v>36.4232616, 74.8814499</v>
      </c>
      <c r="W62" s="13" t="e" cm="1">
        <f t="array" ref="W62">TravelTime(A62,U62,AB62)</f>
        <v>#VALUE!</v>
      </c>
      <c r="X62" s="13" t="e">
        <f t="shared" si="1"/>
        <v>#VALUE!</v>
      </c>
      <c r="Y62" s="13" cm="1">
        <f t="array" ref="Y62">TravelDistance(A62,U62,AB62)</f>
        <v>637085</v>
      </c>
      <c r="Z62" s="13" t="str">
        <f t="shared" si="2"/>
        <v>637.09km</v>
      </c>
      <c r="AA62" s="14" t="s">
        <v>361</v>
      </c>
      <c r="AB62" t="s">
        <v>362</v>
      </c>
    </row>
    <row r="63" spans="1:28" ht="15" x14ac:dyDescent="0.25">
      <c r="A63" s="2" t="s">
        <v>18</v>
      </c>
      <c r="B63" s="2" t="s">
        <v>109</v>
      </c>
      <c r="D63" s="3" t="s">
        <v>39</v>
      </c>
      <c r="E63" s="4" t="s">
        <v>29</v>
      </c>
      <c r="F63" s="4" t="s">
        <v>126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0</v>
      </c>
      <c r="P63" s="5">
        <v>0</v>
      </c>
      <c r="Q63" s="5">
        <v>0</v>
      </c>
      <c r="R63" s="5">
        <v>0</v>
      </c>
      <c r="S63" cm="1">
        <f t="array" ref="S63">GetLatitude(U63)</f>
        <v>36.3132333</v>
      </c>
      <c r="T63" cm="1">
        <f t="array" ref="T63">GetLongitude(U63)</f>
        <v>74.667855000000003</v>
      </c>
      <c r="U63" t="str">
        <f t="shared" si="0"/>
        <v>Ganish, Hunza, PK</v>
      </c>
      <c r="V63" t="str" cm="1">
        <f t="array" ref="V63">GetCoordinates(U63)</f>
        <v>36.3132333, 74.6678550</v>
      </c>
      <c r="W63" s="13" t="e" cm="1">
        <f t="array" ref="W63">TravelTime(A63,U63,AB63)</f>
        <v>#VALUE!</v>
      </c>
      <c r="X63" s="13" t="e">
        <f t="shared" si="1"/>
        <v>#VALUE!</v>
      </c>
      <c r="Y63" s="13" cm="1">
        <f t="array" ref="Y63">TravelDistance(A63,U63,AB63)</f>
        <v>600896</v>
      </c>
      <c r="Z63" s="13" t="str">
        <f t="shared" si="2"/>
        <v>600.9km</v>
      </c>
      <c r="AA63" s="14" t="s">
        <v>361</v>
      </c>
      <c r="AB63" t="s">
        <v>362</v>
      </c>
    </row>
    <row r="64" spans="1:28" ht="15" x14ac:dyDescent="0.25">
      <c r="A64" s="2" t="s">
        <v>18</v>
      </c>
      <c r="B64" s="2" t="s">
        <v>109</v>
      </c>
      <c r="D64" s="3" t="s">
        <v>39</v>
      </c>
      <c r="E64" s="4" t="s">
        <v>29</v>
      </c>
      <c r="F64" s="4" t="s">
        <v>119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>
        <v>0</v>
      </c>
      <c r="P64" s="5">
        <v>0</v>
      </c>
      <c r="Q64" s="5">
        <v>0</v>
      </c>
      <c r="R64" s="5">
        <v>0</v>
      </c>
      <c r="S64" cm="1">
        <f t="array" ref="S64">GetLatitude(U64)</f>
        <v>36.816667000000002</v>
      </c>
      <c r="T64" cm="1">
        <f t="array" ref="T64">GetLongitude(U64)</f>
        <v>74.716667000000001</v>
      </c>
      <c r="U64" t="str">
        <f t="shared" si="0"/>
        <v>Kalam Darchi Fort, Hunza, PK</v>
      </c>
      <c r="V64" t="str" cm="1">
        <f t="array" ref="V64">GetCoordinates(U64)</f>
        <v>36.8166670, 74.7166670</v>
      </c>
      <c r="W64" s="13" t="e" cm="1">
        <f t="array" ref="W64">TravelTime(A64,U64,AB64)</f>
        <v>#VALUE!</v>
      </c>
      <c r="X64" s="13" t="e">
        <f t="shared" si="1"/>
        <v>#VALUE!</v>
      </c>
      <c r="Y64" s="13" cm="1">
        <f t="array" ref="Y64">TravelDistance(A64,U64,AB64)</f>
        <v>703636</v>
      </c>
      <c r="Z64" s="13" t="str">
        <f t="shared" si="2"/>
        <v>703.64km</v>
      </c>
      <c r="AA64" s="14" t="s">
        <v>361</v>
      </c>
      <c r="AB64" t="s">
        <v>362</v>
      </c>
    </row>
    <row r="65" spans="1:28" ht="15" x14ac:dyDescent="0.25">
      <c r="A65" s="2" t="s">
        <v>18</v>
      </c>
      <c r="B65" s="2" t="s">
        <v>109</v>
      </c>
      <c r="D65" s="3" t="s">
        <v>54</v>
      </c>
      <c r="E65" s="4" t="s">
        <v>106</v>
      </c>
      <c r="F65" s="4" t="s">
        <v>127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 s="5">
        <v>1</v>
      </c>
      <c r="M65" s="5">
        <v>1</v>
      </c>
      <c r="N65" s="5">
        <v>1</v>
      </c>
      <c r="O65" s="5">
        <v>0</v>
      </c>
      <c r="P65" s="5">
        <v>0</v>
      </c>
      <c r="Q65" s="5">
        <v>0</v>
      </c>
      <c r="R65" s="5">
        <v>0</v>
      </c>
      <c r="S65" cm="1">
        <f t="array" ref="S65">GetLatitude(U65)</f>
        <v>36.319042400000001</v>
      </c>
      <c r="T65" cm="1">
        <f t="array" ref="T65">GetLongitude(U65)</f>
        <v>74.865333100000001</v>
      </c>
      <c r="U65" t="str">
        <f t="shared" si="0"/>
        <v>Attabad lake, Hunza, PK</v>
      </c>
      <c r="V65" t="str" cm="1">
        <f t="array" ref="V65">GetCoordinates(U65)</f>
        <v>36.3190424, 74.8653331</v>
      </c>
      <c r="W65" s="13" t="e" cm="1">
        <f t="array" ref="W65">TravelTime(A65,U65,AB65)</f>
        <v>#VALUE!</v>
      </c>
      <c r="X65" s="13" t="e">
        <f t="shared" si="1"/>
        <v>#VALUE!</v>
      </c>
      <c r="Y65" s="13" cm="1">
        <f t="array" ref="Y65">TravelDistance(A65,U65,AB65)</f>
        <v>623167</v>
      </c>
      <c r="Z65" s="13" t="str">
        <f t="shared" si="2"/>
        <v>623.17km</v>
      </c>
      <c r="AA65" s="14" t="s">
        <v>361</v>
      </c>
      <c r="AB65" t="s">
        <v>362</v>
      </c>
    </row>
    <row r="66" spans="1:28" ht="15" x14ac:dyDescent="0.25">
      <c r="A66" s="2" t="s">
        <v>18</v>
      </c>
      <c r="B66" s="2" t="s">
        <v>109</v>
      </c>
      <c r="D66" s="3" t="s">
        <v>20</v>
      </c>
      <c r="E66" s="4" t="s">
        <v>115</v>
      </c>
      <c r="F66" s="4" t="s">
        <v>128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0</v>
      </c>
      <c r="P66" s="5">
        <v>0</v>
      </c>
      <c r="Q66" s="5">
        <v>0</v>
      </c>
      <c r="R66" s="5">
        <v>0</v>
      </c>
      <c r="S66" t="e" cm="1">
        <f t="array" ref="S66">GetLatitude(U66)</f>
        <v>#VALUE!</v>
      </c>
      <c r="T66" t="e" cm="1">
        <f t="array" ref="T66">GetLongitude(U66)</f>
        <v>#VALUE!</v>
      </c>
      <c r="U66" t="str">
        <f t="shared" si="0"/>
        <v>Satrangi Lake, Hunza, PK</v>
      </c>
      <c r="V66" t="str" cm="1">
        <f t="array" ref="V66">GetCoordinates(U66)</f>
        <v>The address probably not exists</v>
      </c>
      <c r="W66" s="13" t="e" cm="1">
        <f t="array" ref="W66">TravelTime(A66,U66,AB66)</f>
        <v>#VALUE!</v>
      </c>
      <c r="X66" s="13" t="e">
        <f t="shared" si="1"/>
        <v>#VALUE!</v>
      </c>
      <c r="Y66" s="13" t="e" cm="1">
        <f t="array" ref="Y66">TravelDistance(A66,U66,AB66)</f>
        <v>#VALUE!</v>
      </c>
      <c r="Z66" s="13" t="e">
        <f t="shared" si="2"/>
        <v>#VALUE!</v>
      </c>
      <c r="AA66" s="14" t="s">
        <v>361</v>
      </c>
      <c r="AB66" t="s">
        <v>362</v>
      </c>
    </row>
    <row r="67" spans="1:28" ht="15" x14ac:dyDescent="0.25">
      <c r="A67" s="2" t="s">
        <v>18</v>
      </c>
      <c r="B67" s="2" t="s">
        <v>109</v>
      </c>
      <c r="D67" s="3" t="s">
        <v>113</v>
      </c>
      <c r="E67" s="4" t="s">
        <v>21</v>
      </c>
      <c r="F67" s="4" t="s">
        <v>129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>
        <v>1</v>
      </c>
      <c r="N67" s="5">
        <v>1</v>
      </c>
      <c r="O67" s="5">
        <v>0</v>
      </c>
      <c r="P67" s="5">
        <v>0</v>
      </c>
      <c r="Q67" s="5">
        <v>0</v>
      </c>
      <c r="R67" s="5">
        <v>0</v>
      </c>
      <c r="S67" cm="1">
        <f t="array" ref="S67">GetLatitude(U67)</f>
        <v>36.316665999999998</v>
      </c>
      <c r="T67" cm="1">
        <f t="array" ref="T67">GetLongitude(U67)</f>
        <v>74.649986299999995</v>
      </c>
      <c r="U67" t="str">
        <f t="shared" ref="U67:U130" si="3">F67&amp;", "&amp;B67&amp;", "&amp;AA67</f>
        <v>Hunza River, Hunza, PK</v>
      </c>
      <c r="V67" t="str" cm="1">
        <f t="array" ref="V67">GetCoordinates(U67)</f>
        <v>36.3166660, 74.6499863</v>
      </c>
      <c r="W67" s="13" t="e" cm="1">
        <f t="array" ref="W67">TravelTime(A67,U67,AB67)</f>
        <v>#VALUE!</v>
      </c>
      <c r="X67" s="13" t="e">
        <f t="shared" ref="X67:X130" si="4">W67/60</f>
        <v>#VALUE!</v>
      </c>
      <c r="Y67" s="13" cm="1">
        <f t="array" ref="Y67">TravelDistance(A67,U67,AB67)</f>
        <v>598633</v>
      </c>
      <c r="Z67" s="13" t="str">
        <f t="shared" ref="Z67:Z130" si="5">ROUND(Y67/1000,2)&amp;"km"</f>
        <v>598.63km</v>
      </c>
      <c r="AA67" s="14" t="s">
        <v>361</v>
      </c>
      <c r="AB67" t="s">
        <v>362</v>
      </c>
    </row>
    <row r="68" spans="1:28" ht="15" x14ac:dyDescent="0.25">
      <c r="A68" s="2" t="s">
        <v>18</v>
      </c>
      <c r="B68" s="2" t="s">
        <v>109</v>
      </c>
      <c r="D68" s="3" t="s">
        <v>20</v>
      </c>
      <c r="E68" s="4" t="s">
        <v>21</v>
      </c>
      <c r="F68" s="4" t="s">
        <v>128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 s="5">
        <v>1</v>
      </c>
      <c r="M68" s="5">
        <v>1</v>
      </c>
      <c r="N68" s="5">
        <v>1</v>
      </c>
      <c r="O68" s="5">
        <v>0</v>
      </c>
      <c r="P68" s="5">
        <v>0</v>
      </c>
      <c r="Q68" s="5">
        <v>0</v>
      </c>
      <c r="R68" s="5">
        <v>0</v>
      </c>
      <c r="S68" t="e" cm="1">
        <f t="array" ref="S68">GetLatitude(U68)</f>
        <v>#VALUE!</v>
      </c>
      <c r="T68" t="e" cm="1">
        <f t="array" ref="T68">GetLongitude(U68)</f>
        <v>#VALUE!</v>
      </c>
      <c r="U68" t="str">
        <f t="shared" si="3"/>
        <v>Satrangi Lake, Hunza, PK</v>
      </c>
      <c r="V68" t="str" cm="1">
        <f t="array" ref="V68">GetCoordinates(U68)</f>
        <v>The address probably not exists</v>
      </c>
      <c r="W68" s="13" t="e" cm="1">
        <f t="array" ref="W68">TravelTime(A68,U68,AB68)</f>
        <v>#VALUE!</v>
      </c>
      <c r="X68" s="13" t="e">
        <f t="shared" si="4"/>
        <v>#VALUE!</v>
      </c>
      <c r="Y68" s="13" t="e" cm="1">
        <f t="array" ref="Y68">TravelDistance(A68,U68,AB68)</f>
        <v>#VALUE!</v>
      </c>
      <c r="Z68" s="13" t="e">
        <f t="shared" si="5"/>
        <v>#VALUE!</v>
      </c>
      <c r="AA68" s="14" t="s">
        <v>361</v>
      </c>
      <c r="AB68" t="s">
        <v>362</v>
      </c>
    </row>
    <row r="69" spans="1:28" ht="15" x14ac:dyDescent="0.25">
      <c r="A69" s="2" t="s">
        <v>18</v>
      </c>
      <c r="B69" s="2" t="s">
        <v>109</v>
      </c>
      <c r="D69" s="3" t="s">
        <v>130</v>
      </c>
      <c r="E69" s="4" t="s">
        <v>29</v>
      </c>
      <c r="F69" s="4" t="s">
        <v>131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 s="5">
        <v>1</v>
      </c>
      <c r="M69" s="5">
        <v>1</v>
      </c>
      <c r="N69" s="5">
        <v>1</v>
      </c>
      <c r="O69" s="5">
        <v>0</v>
      </c>
      <c r="P69" s="5">
        <v>0</v>
      </c>
      <c r="Q69" s="5">
        <v>0</v>
      </c>
      <c r="R69" s="5">
        <v>0</v>
      </c>
      <c r="S69" cm="1">
        <f t="array" ref="S69">GetLatitude(U69)</f>
        <v>36.853888900000001</v>
      </c>
      <c r="T69" cm="1">
        <f t="array" ref="T69">GetLongitude(U69)</f>
        <v>75.458888900000005</v>
      </c>
      <c r="U69" t="str">
        <f t="shared" si="3"/>
        <v>Kunjerab Pass, Hunza, PK</v>
      </c>
      <c r="V69" t="str" cm="1">
        <f t="array" ref="V69">GetCoordinates(U69)</f>
        <v>36.8538889, 75.4588889</v>
      </c>
      <c r="W69" s="13" t="e" cm="1">
        <f t="array" ref="W69">TravelTime(A69,U69,AB69)</f>
        <v>#VALUE!</v>
      </c>
      <c r="X69" s="13" t="e">
        <f t="shared" si="4"/>
        <v>#VALUE!</v>
      </c>
      <c r="Y69" s="13" t="e" cm="1">
        <f t="array" ref="Y69">TravelDistance(A69,U69,AB69)</f>
        <v>#VALUE!</v>
      </c>
      <c r="Z69" s="13" t="e">
        <f t="shared" si="5"/>
        <v>#VALUE!</v>
      </c>
      <c r="AA69" s="14" t="s">
        <v>361</v>
      </c>
      <c r="AB69" t="s">
        <v>362</v>
      </c>
    </row>
    <row r="70" spans="1:28" ht="15" x14ac:dyDescent="0.25">
      <c r="A70" s="2" t="s">
        <v>18</v>
      </c>
      <c r="B70" s="6" t="s">
        <v>132</v>
      </c>
      <c r="D70" s="3" t="s">
        <v>130</v>
      </c>
      <c r="E70" s="4" t="s">
        <v>120</v>
      </c>
      <c r="F70" s="4" t="s">
        <v>133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 s="5">
        <v>1</v>
      </c>
      <c r="M70" s="5">
        <v>1</v>
      </c>
      <c r="N70" s="5">
        <v>1</v>
      </c>
      <c r="O70" s="5">
        <v>1</v>
      </c>
      <c r="P70" s="5">
        <v>1</v>
      </c>
      <c r="Q70" s="5">
        <v>1</v>
      </c>
      <c r="R70" s="5">
        <v>1</v>
      </c>
      <c r="S70" cm="1">
        <f t="array" ref="S70">GetLatitude(U70)</f>
        <v>32.964054300000001</v>
      </c>
      <c r="T70" cm="1">
        <f t="array" ref="T70">GetLongitude(U70)</f>
        <v>73.574447399999997</v>
      </c>
      <c r="U70" t="str">
        <f t="shared" si="3"/>
        <v>Rohtas Fort, Jehlum, PK</v>
      </c>
      <c r="V70" t="str" cm="1">
        <f t="array" ref="V70">GetCoordinates(U70)</f>
        <v>32.9640543, 73.5744474</v>
      </c>
      <c r="W70" s="13" cm="1">
        <f t="array" ref="W70">TravelTime(A70,U70,AB70)</f>
        <v>7500</v>
      </c>
      <c r="X70" s="13">
        <f t="shared" si="4"/>
        <v>125</v>
      </c>
      <c r="Y70" s="13" cm="1">
        <f t="array" ref="Y70">TravelDistance(A70,U70,AB70)</f>
        <v>113843</v>
      </c>
      <c r="Z70" s="13" t="str">
        <f t="shared" si="5"/>
        <v>113.84km</v>
      </c>
      <c r="AA70" s="14" t="s">
        <v>361</v>
      </c>
      <c r="AB70" t="s">
        <v>355</v>
      </c>
    </row>
    <row r="71" spans="1:28" ht="15" x14ac:dyDescent="0.25">
      <c r="A71" s="2" t="s">
        <v>18</v>
      </c>
      <c r="B71" s="6" t="s">
        <v>132</v>
      </c>
      <c r="D71" s="3" t="s">
        <v>113</v>
      </c>
      <c r="E71" s="4" t="s">
        <v>106</v>
      </c>
      <c r="F71" s="4" t="s">
        <v>134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 s="5">
        <v>1</v>
      </c>
      <c r="M71" s="5">
        <v>1</v>
      </c>
      <c r="N71" s="5">
        <v>1</v>
      </c>
      <c r="O71" s="5">
        <v>1</v>
      </c>
      <c r="P71" s="5">
        <v>1</v>
      </c>
      <c r="Q71" s="5">
        <v>1</v>
      </c>
      <c r="R71" s="5">
        <v>1</v>
      </c>
      <c r="S71" cm="1">
        <f t="array" ref="S71">GetLatitude(U71)</f>
        <v>32.647988900000001</v>
      </c>
      <c r="T71" cm="1">
        <f t="array" ref="T71">GetLongitude(U71)</f>
        <v>73.008407099999999</v>
      </c>
      <c r="U71" t="str">
        <f t="shared" si="3"/>
        <v>Khewra Salt Mine, Jehlum, PK</v>
      </c>
      <c r="V71" t="str" cm="1">
        <f t="array" ref="V71">GetCoordinates(U71)</f>
        <v>32.6479889, 73.0084071</v>
      </c>
      <c r="W71" s="13" cm="1">
        <f t="array" ref="W71">TravelTime(A71,U71,AB71)</f>
        <v>9252</v>
      </c>
      <c r="X71" s="13">
        <f t="shared" si="4"/>
        <v>154.19999999999999</v>
      </c>
      <c r="Y71" s="13" cm="1">
        <f t="array" ref="Y71">TravelDistance(A71,U71,AB71)</f>
        <v>185649</v>
      </c>
      <c r="Z71" s="13" t="str">
        <f t="shared" si="5"/>
        <v>185.65km</v>
      </c>
      <c r="AA71" s="14" t="s">
        <v>361</v>
      </c>
      <c r="AB71" t="s">
        <v>355</v>
      </c>
    </row>
    <row r="72" spans="1:28" ht="15" x14ac:dyDescent="0.25">
      <c r="A72" s="2" t="s">
        <v>18</v>
      </c>
      <c r="B72" s="2" t="s">
        <v>135</v>
      </c>
      <c r="D72" s="3" t="s">
        <v>31</v>
      </c>
      <c r="E72" s="4" t="s">
        <v>21</v>
      </c>
      <c r="F72" s="4" t="s">
        <v>136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 s="5">
        <v>1</v>
      </c>
      <c r="M72" s="5">
        <v>1</v>
      </c>
      <c r="N72" s="5">
        <v>1</v>
      </c>
      <c r="O72" s="5">
        <v>1</v>
      </c>
      <c r="P72" s="5">
        <v>1</v>
      </c>
      <c r="Q72" s="5">
        <v>0</v>
      </c>
      <c r="R72" s="5">
        <v>0</v>
      </c>
      <c r="S72" cm="1">
        <f t="array" ref="S72">GetLatitude(U72)</f>
        <v>34.5416667</v>
      </c>
      <c r="T72" cm="1">
        <f t="array" ref="T72">GetLongitude(U72)</f>
        <v>73.349999999999994</v>
      </c>
      <c r="U72" t="str">
        <f t="shared" si="3"/>
        <v>Lalazar, Kaghan Valley, PK</v>
      </c>
      <c r="V72" t="str" cm="1">
        <f t="array" ref="V72">GetCoordinates(U72)</f>
        <v>34.5416667, 73.3500000</v>
      </c>
      <c r="W72" s="13" cm="1">
        <f t="array" ref="W72">TravelTime(A72,U72,AB72)</f>
        <v>11488</v>
      </c>
      <c r="X72" s="13">
        <f t="shared" si="4"/>
        <v>191.46666666666667</v>
      </c>
      <c r="Y72" s="13" cm="1">
        <f t="array" ref="Y72">TravelDistance(A72,U72,AB72)</f>
        <v>199190</v>
      </c>
      <c r="Z72" s="13" t="str">
        <f t="shared" si="5"/>
        <v>199.19km</v>
      </c>
      <c r="AA72" s="14" t="s">
        <v>361</v>
      </c>
      <c r="AB72" t="s">
        <v>355</v>
      </c>
    </row>
    <row r="73" spans="1:28" ht="15" x14ac:dyDescent="0.25">
      <c r="A73" s="2" t="s">
        <v>18</v>
      </c>
      <c r="B73" s="2" t="s">
        <v>135</v>
      </c>
      <c r="D73" s="3" t="s">
        <v>20</v>
      </c>
      <c r="E73" s="4" t="s">
        <v>21</v>
      </c>
      <c r="F73" s="4" t="s">
        <v>137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 s="5">
        <v>1</v>
      </c>
      <c r="M73" s="5">
        <v>1</v>
      </c>
      <c r="N73" s="5">
        <v>1</v>
      </c>
      <c r="O73" s="5">
        <v>1</v>
      </c>
      <c r="P73" s="5">
        <v>1</v>
      </c>
      <c r="Q73" s="5">
        <v>0</v>
      </c>
      <c r="R73" s="5">
        <v>0</v>
      </c>
      <c r="S73" cm="1">
        <f t="array" ref="S73">GetLatitude(U73)</f>
        <v>34.5416667</v>
      </c>
      <c r="T73" cm="1">
        <f t="array" ref="T73">GetLongitude(U73)</f>
        <v>73.349999999999994</v>
      </c>
      <c r="U73" t="str">
        <f t="shared" si="3"/>
        <v>Lulusar Lake, Kaghan Valley, PK</v>
      </c>
      <c r="V73" t="str" cm="1">
        <f t="array" ref="V73">GetCoordinates(U73)</f>
        <v>34.5416667, 73.3500000</v>
      </c>
      <c r="W73" s="13" cm="1">
        <f t="array" ref="W73">TravelTime(A73,U73,AB73)</f>
        <v>11488</v>
      </c>
      <c r="X73" s="13">
        <f t="shared" si="4"/>
        <v>191.46666666666667</v>
      </c>
      <c r="Y73" s="13" cm="1">
        <f t="array" ref="Y73">TravelDistance(A73,U73,AB73)</f>
        <v>199190</v>
      </c>
      <c r="Z73" s="13" t="str">
        <f t="shared" si="5"/>
        <v>199.19km</v>
      </c>
      <c r="AA73" s="14" t="s">
        <v>361</v>
      </c>
      <c r="AB73" t="s">
        <v>355</v>
      </c>
    </row>
    <row r="74" spans="1:28" ht="15" x14ac:dyDescent="0.25">
      <c r="A74" s="2" t="s">
        <v>18</v>
      </c>
      <c r="B74" s="2" t="s">
        <v>135</v>
      </c>
      <c r="D74" s="3" t="s">
        <v>82</v>
      </c>
      <c r="E74" s="4" t="s">
        <v>21</v>
      </c>
      <c r="F74" s="4" t="s">
        <v>138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 s="5">
        <v>1</v>
      </c>
      <c r="M74" s="5">
        <v>1</v>
      </c>
      <c r="N74" s="5">
        <v>1</v>
      </c>
      <c r="O74" s="5">
        <v>1</v>
      </c>
      <c r="P74" s="5">
        <v>1</v>
      </c>
      <c r="Q74" s="5">
        <v>0</v>
      </c>
      <c r="R74" s="5">
        <v>0</v>
      </c>
      <c r="S74" cm="1">
        <f t="array" ref="S74">GetLatitude(U74)</f>
        <v>34.858134700000001</v>
      </c>
      <c r="T74" cm="1">
        <f t="array" ref="T74">GetLongitude(U74)</f>
        <v>73.688937800000005</v>
      </c>
      <c r="U74" t="str">
        <f t="shared" si="3"/>
        <v>Saif-ul-malouk, Kaghan Valley, PK</v>
      </c>
      <c r="V74" t="str" cm="1">
        <f t="array" ref="V74">GetCoordinates(U74)</f>
        <v>34.8581347, 73.6889378</v>
      </c>
      <c r="W74" s="13" cm="1">
        <f t="array" ref="W74">TravelTime(A74,U74,AB74)</f>
        <v>22824</v>
      </c>
      <c r="X74" s="13">
        <f t="shared" si="4"/>
        <v>380.4</v>
      </c>
      <c r="Y74" s="13" cm="1">
        <f t="array" ref="Y74">TravelDistance(A74,U74,AB74)</f>
        <v>290975</v>
      </c>
      <c r="Z74" s="13" t="str">
        <f t="shared" si="5"/>
        <v>290.98km</v>
      </c>
      <c r="AA74" s="14" t="s">
        <v>361</v>
      </c>
      <c r="AB74" t="s">
        <v>355</v>
      </c>
    </row>
    <row r="75" spans="1:28" ht="15" x14ac:dyDescent="0.25">
      <c r="A75" s="2" t="s">
        <v>18</v>
      </c>
      <c r="B75" s="2" t="s">
        <v>139</v>
      </c>
      <c r="D75" s="3" t="s">
        <v>20</v>
      </c>
      <c r="E75" s="4" t="s">
        <v>140</v>
      </c>
      <c r="F75" s="4" t="s">
        <v>124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 s="5">
        <v>1</v>
      </c>
      <c r="M75" s="5">
        <v>1</v>
      </c>
      <c r="N75" s="5">
        <v>1</v>
      </c>
      <c r="O75" s="5">
        <v>0</v>
      </c>
      <c r="P75" s="5">
        <v>0</v>
      </c>
      <c r="Q75" s="5">
        <v>0</v>
      </c>
      <c r="R75" s="5">
        <v>0</v>
      </c>
      <c r="S75" cm="1">
        <f t="array" ref="S75">GetLatitude(U75)</f>
        <v>33.778174999999997</v>
      </c>
      <c r="T75" cm="1">
        <f t="array" ref="T75">GetLongitude(U75)</f>
        <v>76.576171400000007</v>
      </c>
      <c r="U75" t="str">
        <f t="shared" si="3"/>
        <v>Gojal Valley, Kashmir, PK</v>
      </c>
      <c r="V75" t="str" cm="1">
        <f t="array" ref="V75">GetCoordinates(U75)</f>
        <v>33.7781750, 76.5761714</v>
      </c>
      <c r="W75" s="13" t="e" cm="1">
        <f t="array" ref="W75">TravelTime(A75,U75,AB75)</f>
        <v>#VALUE!</v>
      </c>
      <c r="X75" s="13" t="e">
        <f t="shared" si="4"/>
        <v>#VALUE!</v>
      </c>
      <c r="Y75" s="13" t="e" cm="1">
        <f t="array" ref="Y75">TravelDistance(A75,U75,AB75)</f>
        <v>#VALUE!</v>
      </c>
      <c r="Z75" s="13" t="e">
        <f t="shared" si="5"/>
        <v>#VALUE!</v>
      </c>
      <c r="AA75" s="14" t="s">
        <v>361</v>
      </c>
      <c r="AB75" t="s">
        <v>355</v>
      </c>
    </row>
    <row r="76" spans="1:28" ht="15" x14ac:dyDescent="0.25">
      <c r="A76" s="2" t="s">
        <v>18</v>
      </c>
      <c r="B76" s="2" t="s">
        <v>139</v>
      </c>
      <c r="D76" s="3" t="s">
        <v>20</v>
      </c>
      <c r="E76" s="4" t="s">
        <v>114</v>
      </c>
      <c r="F76" s="4" t="s">
        <v>112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 s="5">
        <v>1</v>
      </c>
      <c r="M76" s="5">
        <v>1</v>
      </c>
      <c r="N76" s="5">
        <v>1</v>
      </c>
      <c r="O76" s="5">
        <v>0</v>
      </c>
      <c r="P76" s="5">
        <v>0</v>
      </c>
      <c r="Q76" s="5">
        <v>0</v>
      </c>
      <c r="R76" s="5">
        <v>0</v>
      </c>
      <c r="S76" cm="1">
        <f t="array" ref="S76">GetLatitude(U76)</f>
        <v>33.778174999999997</v>
      </c>
      <c r="T76" cm="1">
        <f t="array" ref="T76">GetLongitude(U76)</f>
        <v>76.576171400000007</v>
      </c>
      <c r="U76" t="str">
        <f t="shared" si="3"/>
        <v>Patundas Meadows, Kashmir, PK</v>
      </c>
      <c r="V76" t="str" cm="1">
        <f t="array" ref="V76">GetCoordinates(U76)</f>
        <v>33.7781750, 76.5761714</v>
      </c>
      <c r="W76" s="13" t="e" cm="1">
        <f t="array" ref="W76">TravelTime(A76,U76,AB76)</f>
        <v>#VALUE!</v>
      </c>
      <c r="X76" s="13" t="e">
        <f t="shared" si="4"/>
        <v>#VALUE!</v>
      </c>
      <c r="Y76" s="13" t="e" cm="1">
        <f t="array" ref="Y76">TravelDistance(A76,U76,AB76)</f>
        <v>#VALUE!</v>
      </c>
      <c r="Z76" s="13" t="e">
        <f t="shared" si="5"/>
        <v>#VALUE!</v>
      </c>
      <c r="AA76" s="14" t="s">
        <v>361</v>
      </c>
      <c r="AB76" t="s">
        <v>355</v>
      </c>
    </row>
    <row r="77" spans="1:28" ht="15" x14ac:dyDescent="0.25">
      <c r="A77" s="2" t="s">
        <v>18</v>
      </c>
      <c r="B77" s="2" t="s">
        <v>139</v>
      </c>
      <c r="D77" s="3" t="s">
        <v>31</v>
      </c>
      <c r="E77" s="4" t="s">
        <v>115</v>
      </c>
      <c r="F77" s="4" t="s">
        <v>129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 s="5">
        <v>1</v>
      </c>
      <c r="M77" s="5">
        <v>1</v>
      </c>
      <c r="N77" s="5">
        <v>1</v>
      </c>
      <c r="O77" s="5">
        <v>0</v>
      </c>
      <c r="P77" s="5">
        <v>0</v>
      </c>
      <c r="Q77" s="5">
        <v>0</v>
      </c>
      <c r="R77" s="5">
        <v>0</v>
      </c>
      <c r="S77" cm="1">
        <f t="array" ref="S77">GetLatitude(U77)</f>
        <v>36.2980996</v>
      </c>
      <c r="T77" cm="1">
        <f t="array" ref="T77">GetLongitude(U77)</f>
        <v>74.611169500000003</v>
      </c>
      <c r="U77" t="str">
        <f t="shared" si="3"/>
        <v>Hunza River, Kashmir, PK</v>
      </c>
      <c r="V77" t="str" cm="1">
        <f t="array" ref="V77">GetCoordinates(U77)</f>
        <v>36.2980996, 74.6111695</v>
      </c>
      <c r="W77" s="13" t="e" cm="1">
        <f t="array" ref="W77">TravelTime(A77,U77,AB77)</f>
        <v>#VALUE!</v>
      </c>
      <c r="X77" s="13" t="e">
        <f t="shared" si="4"/>
        <v>#VALUE!</v>
      </c>
      <c r="Y77" s="13" cm="1">
        <f t="array" ref="Y77">TravelDistance(A77,U77,AB77)</f>
        <v>593428</v>
      </c>
      <c r="Z77" s="13" t="str">
        <f t="shared" si="5"/>
        <v>593.43km</v>
      </c>
      <c r="AA77" s="14" t="s">
        <v>361</v>
      </c>
      <c r="AB77" t="s">
        <v>355</v>
      </c>
    </row>
    <row r="78" spans="1:28" ht="15" x14ac:dyDescent="0.25">
      <c r="A78" s="2" t="s">
        <v>18</v>
      </c>
      <c r="B78" s="2" t="s">
        <v>139</v>
      </c>
      <c r="D78" s="3" t="s">
        <v>28</v>
      </c>
      <c r="E78" s="4" t="s">
        <v>106</v>
      </c>
      <c r="F78" s="4" t="s">
        <v>141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 s="5">
        <v>1</v>
      </c>
      <c r="M78" s="5">
        <v>1</v>
      </c>
      <c r="N78" s="5">
        <v>1</v>
      </c>
      <c r="O78" s="5">
        <v>0</v>
      </c>
      <c r="P78" s="5">
        <v>0</v>
      </c>
      <c r="Q78" s="5">
        <v>0</v>
      </c>
      <c r="R78" s="5">
        <v>0</v>
      </c>
      <c r="S78" cm="1">
        <f t="array" ref="S78">GetLatitude(U78)</f>
        <v>36.312838200000002</v>
      </c>
      <c r="T78" cm="1">
        <f t="array" ref="T78">GetLongitude(U78)</f>
        <v>74.686540199999996</v>
      </c>
      <c r="U78" t="str">
        <f t="shared" si="3"/>
        <v>Sacred Rocks of Hunza, Kashmir, PK</v>
      </c>
      <c r="V78" t="str" cm="1">
        <f t="array" ref="V78">GetCoordinates(U78)</f>
        <v>36.3128382, 74.6865402</v>
      </c>
      <c r="W78" s="13" t="e" cm="1">
        <f t="array" ref="W78">TravelTime(A78,U78,AB78)</f>
        <v>#VALUE!</v>
      </c>
      <c r="X78" s="13" t="e">
        <f t="shared" si="4"/>
        <v>#VALUE!</v>
      </c>
      <c r="Y78" s="13" cm="1">
        <f t="array" ref="Y78">TravelDistance(A78,U78,AB78)</f>
        <v>602860</v>
      </c>
      <c r="Z78" s="13" t="str">
        <f t="shared" si="5"/>
        <v>602.86km</v>
      </c>
      <c r="AA78" s="14" t="s">
        <v>361</v>
      </c>
      <c r="AB78" t="s">
        <v>355</v>
      </c>
    </row>
    <row r="79" spans="1:28" ht="15" x14ac:dyDescent="0.25">
      <c r="A79" s="2" t="s">
        <v>18</v>
      </c>
      <c r="B79" s="2" t="s">
        <v>139</v>
      </c>
      <c r="D79" s="3" t="s">
        <v>52</v>
      </c>
      <c r="E79" s="4" t="s">
        <v>29</v>
      </c>
      <c r="F79" s="4" t="s">
        <v>110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 s="5">
        <v>1</v>
      </c>
      <c r="M79" s="5">
        <v>1</v>
      </c>
      <c r="N79" s="5">
        <v>1</v>
      </c>
      <c r="O79" s="5">
        <v>0</v>
      </c>
      <c r="P79" s="5">
        <v>0</v>
      </c>
      <c r="Q79" s="5">
        <v>0</v>
      </c>
      <c r="R79" s="5">
        <v>0</v>
      </c>
      <c r="S79" cm="1">
        <f t="array" ref="S79">GetLatitude(U79)</f>
        <v>36.317255400000001</v>
      </c>
      <c r="T79" cm="1">
        <f t="array" ref="T79">GetLongitude(U79)</f>
        <v>74.681167200000004</v>
      </c>
      <c r="U79" t="str">
        <f t="shared" si="3"/>
        <v>Altit Fort, Kashmir, PK</v>
      </c>
      <c r="V79" t="str" cm="1">
        <f t="array" ref="V79">GetCoordinates(U79)</f>
        <v>36.3172554, 74.6811672</v>
      </c>
      <c r="W79" s="13" t="e" cm="1">
        <f t="array" ref="W79">TravelTime(A79,U79,AB79)</f>
        <v>#VALUE!</v>
      </c>
      <c r="X79" s="13" t="e">
        <f t="shared" si="4"/>
        <v>#VALUE!</v>
      </c>
      <c r="Y79" s="13" cm="1">
        <f t="array" ref="Y79">TravelDistance(A79,U79,AB79)</f>
        <v>604393</v>
      </c>
      <c r="Z79" s="13" t="str">
        <f t="shared" si="5"/>
        <v>604.39km</v>
      </c>
      <c r="AA79" s="14" t="s">
        <v>361</v>
      </c>
      <c r="AB79" t="s">
        <v>355</v>
      </c>
    </row>
    <row r="80" spans="1:28" ht="15" x14ac:dyDescent="0.25">
      <c r="A80" s="2" t="s">
        <v>18</v>
      </c>
      <c r="B80" s="2" t="s">
        <v>139</v>
      </c>
      <c r="D80" s="3" t="s">
        <v>28</v>
      </c>
      <c r="E80" s="4" t="s">
        <v>29</v>
      </c>
      <c r="F80" s="4" t="s">
        <v>141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 s="5">
        <v>1</v>
      </c>
      <c r="M80" s="5">
        <v>1</v>
      </c>
      <c r="N80" s="5">
        <v>1</v>
      </c>
      <c r="O80" s="5">
        <v>0</v>
      </c>
      <c r="P80" s="5">
        <v>0</v>
      </c>
      <c r="Q80" s="5">
        <v>0</v>
      </c>
      <c r="R80" s="5">
        <v>0</v>
      </c>
      <c r="S80" cm="1">
        <f t="array" ref="S80">GetLatitude(U80)</f>
        <v>36.312838200000002</v>
      </c>
      <c r="T80" cm="1">
        <f t="array" ref="T80">GetLongitude(U80)</f>
        <v>74.686540199999996</v>
      </c>
      <c r="U80" t="str">
        <f t="shared" si="3"/>
        <v>Sacred Rocks of Hunza, Kashmir, PK</v>
      </c>
      <c r="V80" t="str" cm="1">
        <f t="array" ref="V80">GetCoordinates(U80)</f>
        <v>36.3128382, 74.6865402</v>
      </c>
      <c r="W80" s="13" t="e" cm="1">
        <f t="array" ref="W80">TravelTime(A80,U80,AB80)</f>
        <v>#VALUE!</v>
      </c>
      <c r="X80" s="13" t="e">
        <f t="shared" si="4"/>
        <v>#VALUE!</v>
      </c>
      <c r="Y80" s="13" cm="1">
        <f t="array" ref="Y80">TravelDistance(A80,U80,AB80)</f>
        <v>602860</v>
      </c>
      <c r="Z80" s="13" t="str">
        <f t="shared" si="5"/>
        <v>602.86km</v>
      </c>
      <c r="AA80" s="14" t="s">
        <v>361</v>
      </c>
      <c r="AB80" t="s">
        <v>355</v>
      </c>
    </row>
    <row r="81" spans="1:28" ht="15" x14ac:dyDescent="0.25">
      <c r="A81" s="2" t="s">
        <v>18</v>
      </c>
      <c r="B81" s="2" t="s">
        <v>139</v>
      </c>
      <c r="D81" s="3" t="s">
        <v>31</v>
      </c>
      <c r="E81" s="4" t="s">
        <v>142</v>
      </c>
      <c r="F81" s="4" t="s">
        <v>127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 s="5">
        <v>1</v>
      </c>
      <c r="M81" s="5">
        <v>1</v>
      </c>
      <c r="N81" s="5">
        <v>1</v>
      </c>
      <c r="O81" s="5">
        <v>0</v>
      </c>
      <c r="P81" s="5">
        <v>0</v>
      </c>
      <c r="Q81" s="5">
        <v>0</v>
      </c>
      <c r="R81" s="5">
        <v>0</v>
      </c>
      <c r="S81" cm="1">
        <f t="array" ref="S81">GetLatitude(U81)</f>
        <v>36.319042400000001</v>
      </c>
      <c r="T81" cm="1">
        <f t="array" ref="T81">GetLongitude(U81)</f>
        <v>74.865333100000001</v>
      </c>
      <c r="U81" t="str">
        <f t="shared" si="3"/>
        <v>Attabad lake, Kashmir, PK</v>
      </c>
      <c r="V81" t="str" cm="1">
        <f t="array" ref="V81">GetCoordinates(U81)</f>
        <v>36.3190424, 74.8653331</v>
      </c>
      <c r="W81" s="13" t="e" cm="1">
        <f t="array" ref="W81">TravelTime(A81,U81,AB81)</f>
        <v>#VALUE!</v>
      </c>
      <c r="X81" s="13" t="e">
        <f t="shared" si="4"/>
        <v>#VALUE!</v>
      </c>
      <c r="Y81" s="13" cm="1">
        <f t="array" ref="Y81">TravelDistance(A81,U81,AB81)</f>
        <v>623167</v>
      </c>
      <c r="Z81" s="13" t="str">
        <f t="shared" si="5"/>
        <v>623.17km</v>
      </c>
      <c r="AA81" s="14" t="s">
        <v>361</v>
      </c>
      <c r="AB81" t="s">
        <v>355</v>
      </c>
    </row>
    <row r="82" spans="1:28" ht="15" x14ac:dyDescent="0.25">
      <c r="A82" s="2" t="s">
        <v>18</v>
      </c>
      <c r="B82" s="2" t="s">
        <v>139</v>
      </c>
      <c r="D82" s="3" t="s">
        <v>92</v>
      </c>
      <c r="E82" s="4" t="s">
        <v>21</v>
      </c>
      <c r="F82" s="4" t="s">
        <v>143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 s="5">
        <v>1</v>
      </c>
      <c r="M82" s="5">
        <v>1</v>
      </c>
      <c r="N82" s="5">
        <v>1</v>
      </c>
      <c r="O82" s="5">
        <v>0</v>
      </c>
      <c r="P82" s="5">
        <v>0</v>
      </c>
      <c r="Q82" s="5">
        <v>0</v>
      </c>
      <c r="R82" s="5">
        <v>0</v>
      </c>
      <c r="S82" cm="1">
        <f t="array" ref="S82">GetLatitude(U82)</f>
        <v>33.1468378</v>
      </c>
      <c r="T82" cm="1">
        <f t="array" ref="T82">GetLongitude(U82)</f>
        <v>73.702037399999995</v>
      </c>
      <c r="U82" t="str">
        <f t="shared" si="3"/>
        <v>Bhutto Park, Kashmir, PK</v>
      </c>
      <c r="V82" t="str" cm="1">
        <f t="array" ref="V82">GetCoordinates(U82)</f>
        <v>33.1468378, 73.7020374</v>
      </c>
      <c r="W82" s="13" cm="1">
        <f t="array" ref="W82">TravelTime(A82,U82,AB82)</f>
        <v>9207</v>
      </c>
      <c r="X82" s="13">
        <f t="shared" si="4"/>
        <v>153.44999999999999</v>
      </c>
      <c r="Y82" s="13" cm="1">
        <f t="array" ref="Y82">TravelDistance(A82,U82,AB82)</f>
        <v>129355</v>
      </c>
      <c r="Z82" s="13" t="str">
        <f t="shared" si="5"/>
        <v>129.36km</v>
      </c>
      <c r="AA82" s="14" t="s">
        <v>361</v>
      </c>
      <c r="AB82" t="s">
        <v>355</v>
      </c>
    </row>
    <row r="83" spans="1:28" ht="15" x14ac:dyDescent="0.25">
      <c r="A83" s="2" t="s">
        <v>18</v>
      </c>
      <c r="B83" s="2" t="s">
        <v>139</v>
      </c>
      <c r="D83" s="3" t="s">
        <v>28</v>
      </c>
      <c r="E83" s="4" t="s">
        <v>144</v>
      </c>
      <c r="F83" s="4" t="s">
        <v>145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 s="5">
        <v>1</v>
      </c>
      <c r="M83" s="5">
        <v>1</v>
      </c>
      <c r="N83" s="5">
        <v>1</v>
      </c>
      <c r="O83" s="5">
        <v>0</v>
      </c>
      <c r="P83" s="5">
        <v>0</v>
      </c>
      <c r="Q83" s="5">
        <v>0</v>
      </c>
      <c r="R83" s="5">
        <v>0</v>
      </c>
      <c r="S83" cm="1">
        <f t="array" ref="S83">GetLatitude(U83)</f>
        <v>33.082299499999998</v>
      </c>
      <c r="T83" cm="1">
        <f t="array" ref="T83">GetLongitude(U83)</f>
        <v>73.758817800000003</v>
      </c>
      <c r="U83" t="str">
        <f t="shared" si="3"/>
        <v>Darbar E Aalia Khari Sharif, Kashmir, PK</v>
      </c>
      <c r="V83" t="str" cm="1">
        <f t="array" ref="V83">GetCoordinates(U83)</f>
        <v>33.0822995, 73.7588178</v>
      </c>
      <c r="W83" s="13" cm="1">
        <f t="array" ref="W83">TravelTime(A83,U83,AB83)</f>
        <v>10016</v>
      </c>
      <c r="X83" s="13">
        <f t="shared" si="4"/>
        <v>166.93333333333334</v>
      </c>
      <c r="Y83" s="13" cm="1">
        <f t="array" ref="Y83">TravelDistance(A83,U83,AB83)</f>
        <v>134116</v>
      </c>
      <c r="Z83" s="13" t="str">
        <f t="shared" si="5"/>
        <v>134.12km</v>
      </c>
      <c r="AA83" s="14" t="s">
        <v>361</v>
      </c>
      <c r="AB83" t="s">
        <v>355</v>
      </c>
    </row>
    <row r="84" spans="1:28" ht="15" x14ac:dyDescent="0.25">
      <c r="A84" s="2" t="s">
        <v>18</v>
      </c>
      <c r="B84" s="2" t="s">
        <v>139</v>
      </c>
      <c r="D84" s="3" t="s">
        <v>28</v>
      </c>
      <c r="E84" s="4" t="s">
        <v>29</v>
      </c>
      <c r="F84" s="4" t="s">
        <v>145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 s="5">
        <v>1</v>
      </c>
      <c r="M84" s="5">
        <v>1</v>
      </c>
      <c r="N84" s="5">
        <v>1</v>
      </c>
      <c r="O84" s="5">
        <v>0</v>
      </c>
      <c r="P84" s="5">
        <v>0</v>
      </c>
      <c r="Q84" s="5">
        <v>0</v>
      </c>
      <c r="R84" s="5">
        <v>0</v>
      </c>
      <c r="S84" cm="1">
        <f t="array" ref="S84">GetLatitude(U84)</f>
        <v>33.082299499999998</v>
      </c>
      <c r="T84" cm="1">
        <f t="array" ref="T84">GetLongitude(U84)</f>
        <v>73.758817800000003</v>
      </c>
      <c r="U84" t="str">
        <f t="shared" si="3"/>
        <v>Darbar E Aalia Khari Sharif, Kashmir, PK</v>
      </c>
      <c r="V84" t="str" cm="1">
        <f t="array" ref="V84">GetCoordinates(U84)</f>
        <v>33.0822995, 73.7588178</v>
      </c>
      <c r="W84" s="13" cm="1">
        <f t="array" ref="W84">TravelTime(A84,U84,AB84)</f>
        <v>10016</v>
      </c>
      <c r="X84" s="13">
        <f t="shared" si="4"/>
        <v>166.93333333333334</v>
      </c>
      <c r="Y84" s="13" cm="1">
        <f t="array" ref="Y84">TravelDistance(A84,U84,AB84)</f>
        <v>134116</v>
      </c>
      <c r="Z84" s="13" t="str">
        <f t="shared" si="5"/>
        <v>134.12km</v>
      </c>
      <c r="AA84" s="14" t="s">
        <v>361</v>
      </c>
      <c r="AB84" t="s">
        <v>355</v>
      </c>
    </row>
    <row r="85" spans="1:28" ht="15" x14ac:dyDescent="0.25">
      <c r="A85" s="2" t="s">
        <v>18</v>
      </c>
      <c r="B85" s="2" t="s">
        <v>139</v>
      </c>
      <c r="D85" s="3" t="s">
        <v>92</v>
      </c>
      <c r="E85" s="4" t="s">
        <v>21</v>
      </c>
      <c r="F85" s="4" t="s">
        <v>146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 s="5">
        <v>1</v>
      </c>
      <c r="M85" s="5">
        <v>1</v>
      </c>
      <c r="N85" s="5">
        <v>1</v>
      </c>
      <c r="O85" s="5">
        <v>0</v>
      </c>
      <c r="P85" s="5">
        <v>0</v>
      </c>
      <c r="Q85" s="5">
        <v>0</v>
      </c>
      <c r="R85" s="5">
        <v>0</v>
      </c>
      <c r="S85" cm="1">
        <f t="array" ref="S85">GetLatitude(U85)</f>
        <v>33.925905499999999</v>
      </c>
      <c r="T85" cm="1">
        <f t="array" ref="T85">GetLongitude(U85)</f>
        <v>73.781033399999998</v>
      </c>
      <c r="U85" t="str">
        <f t="shared" si="3"/>
        <v>Dhani Waterfall, Kashmir, PK</v>
      </c>
      <c r="V85" t="str" cm="1">
        <f t="array" ref="V85">GetCoordinates(U85)</f>
        <v>33.9259055, 73.7810334</v>
      </c>
      <c r="W85" s="13" cm="1">
        <f t="array" ref="W85">TravelTime(A85,U85,AB85)</f>
        <v>14884</v>
      </c>
      <c r="X85" s="13">
        <f t="shared" si="4"/>
        <v>248.06666666666666</v>
      </c>
      <c r="Y85" s="13" cm="1">
        <f t="array" ref="Y85">TravelDistance(A85,U85,AB85)</f>
        <v>138631</v>
      </c>
      <c r="Z85" s="13" t="str">
        <f t="shared" si="5"/>
        <v>138.63km</v>
      </c>
      <c r="AA85" s="14" t="s">
        <v>361</v>
      </c>
      <c r="AB85" t="s">
        <v>355</v>
      </c>
    </row>
    <row r="86" spans="1:28" ht="15" x14ac:dyDescent="0.25">
      <c r="A86" s="2" t="s">
        <v>18</v>
      </c>
      <c r="B86" s="2" t="s">
        <v>139</v>
      </c>
      <c r="D86" s="3" t="s">
        <v>92</v>
      </c>
      <c r="E86" s="4" t="s">
        <v>147</v>
      </c>
      <c r="F86" s="4" t="s">
        <v>146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 s="5">
        <v>1</v>
      </c>
      <c r="M86" s="5">
        <v>1</v>
      </c>
      <c r="N86" s="5">
        <v>1</v>
      </c>
      <c r="O86" s="5">
        <v>0</v>
      </c>
      <c r="P86" s="5">
        <v>0</v>
      </c>
      <c r="Q86" s="5">
        <v>0</v>
      </c>
      <c r="R86" s="5">
        <v>0</v>
      </c>
      <c r="S86" cm="1">
        <f t="array" ref="S86">GetLatitude(U86)</f>
        <v>33.925905499999999</v>
      </c>
      <c r="T86" cm="1">
        <f t="array" ref="T86">GetLongitude(U86)</f>
        <v>73.781033399999998</v>
      </c>
      <c r="U86" t="str">
        <f t="shared" si="3"/>
        <v>Dhani Waterfall, Kashmir, PK</v>
      </c>
      <c r="V86" t="str" cm="1">
        <f t="array" ref="V86">GetCoordinates(U86)</f>
        <v>33.9259055, 73.7810334</v>
      </c>
      <c r="W86" s="13" cm="1">
        <f t="array" ref="W86">TravelTime(A86,U86,AB86)</f>
        <v>14884</v>
      </c>
      <c r="X86" s="13">
        <f t="shared" si="4"/>
        <v>248.06666666666666</v>
      </c>
      <c r="Y86" s="13" cm="1">
        <f t="array" ref="Y86">TravelDistance(A86,U86,AB86)</f>
        <v>138631</v>
      </c>
      <c r="Z86" s="13" t="str">
        <f t="shared" si="5"/>
        <v>138.63km</v>
      </c>
      <c r="AA86" s="14" t="s">
        <v>361</v>
      </c>
      <c r="AB86" t="s">
        <v>355</v>
      </c>
    </row>
    <row r="87" spans="1:28" ht="15" x14ac:dyDescent="0.25">
      <c r="A87" s="2" t="s">
        <v>18</v>
      </c>
      <c r="B87" s="2" t="s">
        <v>139</v>
      </c>
      <c r="D87" s="3" t="s">
        <v>31</v>
      </c>
      <c r="E87" s="4" t="s">
        <v>21</v>
      </c>
      <c r="F87" s="4" t="s">
        <v>148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 s="5">
        <v>1</v>
      </c>
      <c r="M87" s="5">
        <v>1</v>
      </c>
      <c r="N87" s="5">
        <v>1</v>
      </c>
      <c r="O87" s="5">
        <v>0</v>
      </c>
      <c r="P87" s="5">
        <v>0</v>
      </c>
      <c r="Q87" s="5">
        <v>0</v>
      </c>
      <c r="R87" s="5">
        <v>0</v>
      </c>
      <c r="S87" cm="1">
        <f t="array" ref="S87">GetLatitude(U87)</f>
        <v>33.827355599999997</v>
      </c>
      <c r="T87" cm="1">
        <f t="array" ref="T87">GetLongitude(U87)</f>
        <v>73.775218800000005</v>
      </c>
      <c r="U87" t="str">
        <f t="shared" si="3"/>
        <v>Dream Valley Resort, Kashmir, PK</v>
      </c>
      <c r="V87" t="str" cm="1">
        <f t="array" ref="V87">GetCoordinates(U87)</f>
        <v>33.8273556, 73.7752188</v>
      </c>
      <c r="W87" s="13" cm="1">
        <f t="array" ref="W87">TravelTime(A87,U87,AB87)</f>
        <v>11786</v>
      </c>
      <c r="X87" s="13">
        <f t="shared" si="4"/>
        <v>196.43333333333334</v>
      </c>
      <c r="Y87" s="13" cm="1">
        <f t="array" ref="Y87">TravelDistance(A87,U87,AB87)</f>
        <v>117183</v>
      </c>
      <c r="Z87" s="13" t="str">
        <f t="shared" si="5"/>
        <v>117.18km</v>
      </c>
      <c r="AA87" s="14" t="s">
        <v>361</v>
      </c>
      <c r="AB87" t="s">
        <v>355</v>
      </c>
    </row>
    <row r="88" spans="1:28" ht="15" x14ac:dyDescent="0.25">
      <c r="A88" s="2" t="s">
        <v>18</v>
      </c>
      <c r="B88" s="2" t="s">
        <v>139</v>
      </c>
      <c r="D88" s="3" t="s">
        <v>31</v>
      </c>
      <c r="E88" s="4" t="s">
        <v>149</v>
      </c>
      <c r="F88" s="4" t="s">
        <v>148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 s="5">
        <v>1</v>
      </c>
      <c r="M88" s="5">
        <v>1</v>
      </c>
      <c r="N88" s="5">
        <v>1</v>
      </c>
      <c r="O88" s="5">
        <v>0</v>
      </c>
      <c r="P88" s="5">
        <v>0</v>
      </c>
      <c r="Q88" s="5">
        <v>0</v>
      </c>
      <c r="R88" s="5">
        <v>0</v>
      </c>
      <c r="S88" cm="1">
        <f t="array" ref="S88">GetLatitude(U88)</f>
        <v>33.827355599999997</v>
      </c>
      <c r="T88" cm="1">
        <f t="array" ref="T88">GetLongitude(U88)</f>
        <v>73.775218800000005</v>
      </c>
      <c r="U88" t="str">
        <f t="shared" si="3"/>
        <v>Dream Valley Resort, Kashmir, PK</v>
      </c>
      <c r="V88" t="str" cm="1">
        <f t="array" ref="V88">GetCoordinates(U88)</f>
        <v>33.8273556, 73.7752188</v>
      </c>
      <c r="W88" s="13" cm="1">
        <f t="array" ref="W88">TravelTime(A88,U88,AB88)</f>
        <v>11786</v>
      </c>
      <c r="X88" s="13">
        <f t="shared" si="4"/>
        <v>196.43333333333334</v>
      </c>
      <c r="Y88" s="13" cm="1">
        <f t="array" ref="Y88">TravelDistance(A88,U88,AB88)</f>
        <v>117183</v>
      </c>
      <c r="Z88" s="13" t="str">
        <f t="shared" si="5"/>
        <v>117.18km</v>
      </c>
      <c r="AA88" s="14" t="s">
        <v>361</v>
      </c>
      <c r="AB88" t="s">
        <v>355</v>
      </c>
    </row>
    <row r="89" spans="1:28" ht="15" x14ac:dyDescent="0.25">
      <c r="A89" s="2" t="s">
        <v>18</v>
      </c>
      <c r="B89" s="2" t="s">
        <v>139</v>
      </c>
      <c r="D89" s="3" t="s">
        <v>31</v>
      </c>
      <c r="E89" s="4" t="s">
        <v>140</v>
      </c>
      <c r="F89" s="4" t="s">
        <v>148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 s="5">
        <v>1</v>
      </c>
      <c r="M89" s="5">
        <v>1</v>
      </c>
      <c r="N89" s="5">
        <v>1</v>
      </c>
      <c r="O89" s="5">
        <v>0</v>
      </c>
      <c r="P89" s="5">
        <v>0</v>
      </c>
      <c r="Q89" s="5">
        <v>0</v>
      </c>
      <c r="R89" s="5">
        <v>0</v>
      </c>
      <c r="S89" cm="1">
        <f t="array" ref="S89">GetLatitude(U89)</f>
        <v>33.827355599999997</v>
      </c>
      <c r="T89" cm="1">
        <f t="array" ref="T89">GetLongitude(U89)</f>
        <v>73.775218800000005</v>
      </c>
      <c r="U89" t="str">
        <f t="shared" si="3"/>
        <v>Dream Valley Resort, Kashmir, PK</v>
      </c>
      <c r="V89" t="str" cm="1">
        <f t="array" ref="V89">GetCoordinates(U89)</f>
        <v>33.8273556, 73.7752188</v>
      </c>
      <c r="W89" s="13" cm="1">
        <f t="array" ref="W89">TravelTime(A89,U89,AB89)</f>
        <v>11786</v>
      </c>
      <c r="X89" s="13">
        <f t="shared" si="4"/>
        <v>196.43333333333334</v>
      </c>
      <c r="Y89" s="13" cm="1">
        <f t="array" ref="Y89">TravelDistance(A89,U89,AB89)</f>
        <v>117183</v>
      </c>
      <c r="Z89" s="13" t="str">
        <f t="shared" si="5"/>
        <v>117.18km</v>
      </c>
      <c r="AA89" s="14" t="s">
        <v>361</v>
      </c>
      <c r="AB89" t="s">
        <v>355</v>
      </c>
    </row>
    <row r="90" spans="1:28" ht="15" x14ac:dyDescent="0.25">
      <c r="A90" s="2" t="s">
        <v>18</v>
      </c>
      <c r="B90" s="2" t="s">
        <v>139</v>
      </c>
      <c r="D90" s="3" t="s">
        <v>113</v>
      </c>
      <c r="E90" s="4" t="s">
        <v>149</v>
      </c>
      <c r="F90" s="4" t="s">
        <v>150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 s="5">
        <v>1</v>
      </c>
      <c r="M90" s="5">
        <v>1</v>
      </c>
      <c r="N90" s="5">
        <v>1</v>
      </c>
      <c r="O90" s="5">
        <v>0</v>
      </c>
      <c r="P90" s="5">
        <v>0</v>
      </c>
      <c r="Q90" s="5">
        <v>0</v>
      </c>
      <c r="R90" s="5">
        <v>0</v>
      </c>
      <c r="S90" cm="1">
        <f t="array" ref="S90">GetLatitude(U90)</f>
        <v>34.075483499999997</v>
      </c>
      <c r="T90" cm="1">
        <f t="array" ref="T90">GetLongitude(U90)</f>
        <v>73.787999200000002</v>
      </c>
      <c r="U90" t="str">
        <f t="shared" si="3"/>
        <v>Ganga choti, Kashmir, PK</v>
      </c>
      <c r="V90" t="str" cm="1">
        <f t="array" ref="V90">GetCoordinates(U90)</f>
        <v>34.0754835, 73.7879992</v>
      </c>
      <c r="W90" s="13" cm="1">
        <f t="array" ref="W90">TravelTime(A90,U90,AB90)</f>
        <v>18470</v>
      </c>
      <c r="X90" s="13">
        <f t="shared" si="4"/>
        <v>307.83333333333331</v>
      </c>
      <c r="Y90" s="13" cm="1">
        <f t="array" ref="Y90">TravelDistance(A90,U90,AB90)</f>
        <v>184238</v>
      </c>
      <c r="Z90" s="13" t="str">
        <f t="shared" si="5"/>
        <v>184.24km</v>
      </c>
      <c r="AA90" s="14" t="s">
        <v>361</v>
      </c>
      <c r="AB90" t="s">
        <v>355</v>
      </c>
    </row>
    <row r="91" spans="1:28" ht="15" x14ac:dyDescent="0.25">
      <c r="A91" s="2" t="s">
        <v>18</v>
      </c>
      <c r="B91" s="2" t="s">
        <v>139</v>
      </c>
      <c r="D91" s="3" t="s">
        <v>113</v>
      </c>
      <c r="E91" s="4" t="s">
        <v>21</v>
      </c>
      <c r="F91" s="4" t="s">
        <v>150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 s="5">
        <v>1</v>
      </c>
      <c r="M91" s="5">
        <v>1</v>
      </c>
      <c r="N91" s="5">
        <v>1</v>
      </c>
      <c r="O91" s="5">
        <v>0</v>
      </c>
      <c r="P91" s="5">
        <v>0</v>
      </c>
      <c r="Q91" s="5">
        <v>0</v>
      </c>
      <c r="R91" s="5">
        <v>0</v>
      </c>
      <c r="S91" cm="1">
        <f t="array" ref="S91">GetLatitude(U91)</f>
        <v>34.075483499999997</v>
      </c>
      <c r="T91" cm="1">
        <f t="array" ref="T91">GetLongitude(U91)</f>
        <v>73.787999200000002</v>
      </c>
      <c r="U91" t="str">
        <f t="shared" si="3"/>
        <v>Ganga choti, Kashmir, PK</v>
      </c>
      <c r="V91" t="str" cm="1">
        <f t="array" ref="V91">GetCoordinates(U91)</f>
        <v>34.0754835, 73.7879992</v>
      </c>
      <c r="W91" s="13" cm="1">
        <f t="array" ref="W91">TravelTime(A91,U91,AB91)</f>
        <v>18470</v>
      </c>
      <c r="X91" s="13">
        <f t="shared" si="4"/>
        <v>307.83333333333331</v>
      </c>
      <c r="Y91" s="13" cm="1">
        <f t="array" ref="Y91">TravelDistance(A91,U91,AB91)</f>
        <v>184238</v>
      </c>
      <c r="Z91" s="13" t="str">
        <f t="shared" si="5"/>
        <v>184.24km</v>
      </c>
      <c r="AA91" s="14" t="s">
        <v>361</v>
      </c>
      <c r="AB91" t="s">
        <v>355</v>
      </c>
    </row>
    <row r="92" spans="1:28" ht="15" x14ac:dyDescent="0.25">
      <c r="A92" s="2" t="s">
        <v>18</v>
      </c>
      <c r="B92" s="2" t="s">
        <v>139</v>
      </c>
      <c r="D92" s="3" t="s">
        <v>31</v>
      </c>
      <c r="E92" s="4" t="s">
        <v>151</v>
      </c>
      <c r="F92" s="4" t="s">
        <v>364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 s="5">
        <v>1</v>
      </c>
      <c r="M92" s="5">
        <v>1</v>
      </c>
      <c r="N92" s="5">
        <v>1</v>
      </c>
      <c r="O92" s="5">
        <v>0</v>
      </c>
      <c r="P92" s="5">
        <v>0</v>
      </c>
      <c r="Q92" s="5">
        <v>0</v>
      </c>
      <c r="R92" s="5">
        <v>0</v>
      </c>
      <c r="S92" cm="1">
        <f t="array" ref="S92">GetLatitude(U92)</f>
        <v>0</v>
      </c>
      <c r="T92" cm="1">
        <f t="array" ref="T92">GetLongitude(U92)</f>
        <v>0</v>
      </c>
      <c r="U92" t="str">
        <f t="shared" si="3"/>
        <v>Gurez Valley , Kashmir, PK</v>
      </c>
      <c r="V92" t="str" cm="1">
        <f t="array" ref="V92">GetCoordinates(U92)</f>
        <v/>
      </c>
      <c r="W92" s="13" t="e" cm="1">
        <f t="array" ref="W92">TravelTime(A92,U92,AB92)</f>
        <v>#VALUE!</v>
      </c>
      <c r="X92" s="13" t="e">
        <f t="shared" si="4"/>
        <v>#VALUE!</v>
      </c>
      <c r="Y92" s="13" t="e" cm="1">
        <f t="array" ref="Y92">TravelDistance(A92,U92,AB92)</f>
        <v>#VALUE!</v>
      </c>
      <c r="Z92" s="13" t="e">
        <f t="shared" si="5"/>
        <v>#VALUE!</v>
      </c>
      <c r="AA92" s="14" t="s">
        <v>361</v>
      </c>
      <c r="AB92" t="s">
        <v>355</v>
      </c>
    </row>
    <row r="93" spans="1:28" ht="15" x14ac:dyDescent="0.25">
      <c r="A93" s="2" t="s">
        <v>18</v>
      </c>
      <c r="B93" s="2" t="s">
        <v>139</v>
      </c>
      <c r="D93" s="3" t="s">
        <v>31</v>
      </c>
      <c r="E93" s="4" t="s">
        <v>29</v>
      </c>
      <c r="F93" s="4" t="s">
        <v>152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 s="5">
        <v>1</v>
      </c>
      <c r="M93" s="5">
        <v>1</v>
      </c>
      <c r="N93" s="5">
        <v>1</v>
      </c>
      <c r="O93" s="5">
        <v>0</v>
      </c>
      <c r="P93" s="5">
        <v>0</v>
      </c>
      <c r="Q93" s="5">
        <v>0</v>
      </c>
      <c r="R93" s="5">
        <v>0</v>
      </c>
      <c r="S93" cm="1">
        <f t="array" ref="S93">GetLatitude(U93)</f>
        <v>0</v>
      </c>
      <c r="T93" cm="1">
        <f t="array" ref="T93">GetLongitude(U93)</f>
        <v>0</v>
      </c>
      <c r="U93" t="str">
        <f t="shared" si="3"/>
        <v>Gurez Valley (Kel to Taobat), Kashmir, PK</v>
      </c>
      <c r="V93" t="str" cm="1">
        <f t="array" ref="V93">GetCoordinates(U93)</f>
        <v/>
      </c>
      <c r="W93" s="13" t="e" cm="1">
        <f t="array" ref="W93">TravelTime(A93,U93,AB93)</f>
        <v>#VALUE!</v>
      </c>
      <c r="X93" s="13" t="e">
        <f t="shared" si="4"/>
        <v>#VALUE!</v>
      </c>
      <c r="Y93" s="13" t="e" cm="1">
        <f t="array" ref="Y93">TravelDistance(A93,U93,AB93)</f>
        <v>#VALUE!</v>
      </c>
      <c r="Z93" s="13" t="e">
        <f t="shared" si="5"/>
        <v>#VALUE!</v>
      </c>
      <c r="AA93" s="14" t="s">
        <v>361</v>
      </c>
      <c r="AB93" t="s">
        <v>355</v>
      </c>
    </row>
    <row r="94" spans="1:28" ht="15" x14ac:dyDescent="0.25">
      <c r="A94" s="2" t="s">
        <v>18</v>
      </c>
      <c r="B94" s="2" t="s">
        <v>139</v>
      </c>
      <c r="D94" s="3" t="s">
        <v>31</v>
      </c>
      <c r="E94" s="4" t="s">
        <v>21</v>
      </c>
      <c r="F94" s="4" t="s">
        <v>152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 s="5">
        <v>1</v>
      </c>
      <c r="M94" s="5">
        <v>1</v>
      </c>
      <c r="N94" s="5">
        <v>1</v>
      </c>
      <c r="O94" s="5">
        <v>0</v>
      </c>
      <c r="P94" s="5">
        <v>0</v>
      </c>
      <c r="Q94" s="5">
        <v>0</v>
      </c>
      <c r="R94" s="5">
        <v>0</v>
      </c>
      <c r="S94" cm="1">
        <f t="array" ref="S94">GetLatitude(U94)</f>
        <v>0</v>
      </c>
      <c r="T94" cm="1">
        <f t="array" ref="T94">GetLongitude(U94)</f>
        <v>0</v>
      </c>
      <c r="U94" t="str">
        <f t="shared" si="3"/>
        <v>Gurez Valley (Kel to Taobat), Kashmir, PK</v>
      </c>
      <c r="V94" t="str" cm="1">
        <f t="array" ref="V94">GetCoordinates(U94)</f>
        <v/>
      </c>
      <c r="W94" s="13" t="e" cm="1">
        <f t="array" ref="W94">TravelTime(A94,U94,AB94)</f>
        <v>#VALUE!</v>
      </c>
      <c r="X94" s="13" t="e">
        <f t="shared" si="4"/>
        <v>#VALUE!</v>
      </c>
      <c r="Y94" s="13" t="e" cm="1">
        <f t="array" ref="Y94">TravelDistance(A94,U94,AB94)</f>
        <v>#VALUE!</v>
      </c>
      <c r="Z94" s="13" t="e">
        <f t="shared" si="5"/>
        <v>#VALUE!</v>
      </c>
      <c r="AA94" s="14" t="s">
        <v>361</v>
      </c>
      <c r="AB94" t="s">
        <v>355</v>
      </c>
    </row>
    <row r="95" spans="1:28" ht="15" x14ac:dyDescent="0.25">
      <c r="A95" s="2" t="s">
        <v>18</v>
      </c>
      <c r="B95" s="2" t="s">
        <v>139</v>
      </c>
      <c r="D95" s="3" t="s">
        <v>31</v>
      </c>
      <c r="E95" s="4" t="s">
        <v>153</v>
      </c>
      <c r="F95" s="4" t="s">
        <v>152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 s="5">
        <v>1</v>
      </c>
      <c r="M95" s="5">
        <v>1</v>
      </c>
      <c r="N95" s="5">
        <v>1</v>
      </c>
      <c r="O95" s="5">
        <v>0</v>
      </c>
      <c r="P95" s="5">
        <v>0</v>
      </c>
      <c r="Q95" s="5">
        <v>0</v>
      </c>
      <c r="R95" s="5">
        <v>0</v>
      </c>
      <c r="S95" cm="1">
        <f t="array" ref="S95">GetLatitude(U95)</f>
        <v>0</v>
      </c>
      <c r="T95" cm="1">
        <f t="array" ref="T95">GetLongitude(U95)</f>
        <v>0</v>
      </c>
      <c r="U95" t="str">
        <f t="shared" si="3"/>
        <v>Gurez Valley (Kel to Taobat), Kashmir, PK</v>
      </c>
      <c r="V95" t="str" cm="1">
        <f t="array" ref="V95">GetCoordinates(U95)</f>
        <v/>
      </c>
      <c r="W95" s="13" t="e" cm="1">
        <f t="array" ref="W95">TravelTime(A95,U95,AB95)</f>
        <v>#VALUE!</v>
      </c>
      <c r="X95" s="13" t="e">
        <f t="shared" si="4"/>
        <v>#VALUE!</v>
      </c>
      <c r="Y95" s="13" t="e" cm="1">
        <f t="array" ref="Y95">TravelDistance(A95,U95,AB95)</f>
        <v>#VALUE!</v>
      </c>
      <c r="Z95" s="13" t="e">
        <f t="shared" si="5"/>
        <v>#VALUE!</v>
      </c>
      <c r="AA95" s="14" t="s">
        <v>361</v>
      </c>
      <c r="AB95" t="s">
        <v>355</v>
      </c>
    </row>
    <row r="96" spans="1:28" ht="15" x14ac:dyDescent="0.25">
      <c r="A96" s="2" t="s">
        <v>18</v>
      </c>
      <c r="B96" s="2" t="s">
        <v>139</v>
      </c>
      <c r="D96" s="3" t="s">
        <v>31</v>
      </c>
      <c r="E96" s="4" t="s">
        <v>154</v>
      </c>
      <c r="F96" s="4" t="s">
        <v>152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 s="5">
        <v>1</v>
      </c>
      <c r="M96" s="5">
        <v>1</v>
      </c>
      <c r="N96" s="5">
        <v>1</v>
      </c>
      <c r="O96" s="5">
        <v>0</v>
      </c>
      <c r="P96" s="5">
        <v>0</v>
      </c>
      <c r="Q96" s="5">
        <v>0</v>
      </c>
      <c r="R96" s="5">
        <v>0</v>
      </c>
      <c r="S96" cm="1">
        <f t="array" ref="S96">GetLatitude(U96)</f>
        <v>0</v>
      </c>
      <c r="T96" cm="1">
        <f t="array" ref="T96">GetLongitude(U96)</f>
        <v>0</v>
      </c>
      <c r="U96" t="str">
        <f t="shared" si="3"/>
        <v>Gurez Valley (Kel to Taobat), Kashmir, PK</v>
      </c>
      <c r="V96" t="str" cm="1">
        <f t="array" ref="V96">GetCoordinates(U96)</f>
        <v/>
      </c>
      <c r="W96" s="13" t="e" cm="1">
        <f t="array" ref="W96">TravelTime(A96,U96,AB96)</f>
        <v>#VALUE!</v>
      </c>
      <c r="X96" s="13" t="e">
        <f t="shared" si="4"/>
        <v>#VALUE!</v>
      </c>
      <c r="Y96" s="13" t="e" cm="1">
        <f t="array" ref="Y96">TravelDistance(A96,U96,AB96)</f>
        <v>#VALUE!</v>
      </c>
      <c r="Z96" s="13" t="e">
        <f t="shared" si="5"/>
        <v>#VALUE!</v>
      </c>
      <c r="AA96" s="14" t="s">
        <v>361</v>
      </c>
      <c r="AB96" t="s">
        <v>355</v>
      </c>
    </row>
    <row r="97" spans="1:28" ht="15" x14ac:dyDescent="0.25">
      <c r="A97" s="2" t="s">
        <v>18</v>
      </c>
      <c r="B97" s="2" t="s">
        <v>139</v>
      </c>
      <c r="D97" s="3" t="s">
        <v>31</v>
      </c>
      <c r="E97" s="4" t="s">
        <v>25</v>
      </c>
      <c r="F97" s="4" t="s">
        <v>152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 s="5">
        <v>1</v>
      </c>
      <c r="M97" s="5">
        <v>1</v>
      </c>
      <c r="N97" s="5">
        <v>1</v>
      </c>
      <c r="O97" s="5">
        <v>0</v>
      </c>
      <c r="P97" s="5">
        <v>0</v>
      </c>
      <c r="Q97" s="5">
        <v>0</v>
      </c>
      <c r="R97" s="5">
        <v>0</v>
      </c>
      <c r="S97" cm="1">
        <f t="array" ref="S97">GetLatitude(U97)</f>
        <v>0</v>
      </c>
      <c r="T97" cm="1">
        <f t="array" ref="T97">GetLongitude(U97)</f>
        <v>0</v>
      </c>
      <c r="U97" t="str">
        <f t="shared" si="3"/>
        <v>Gurez Valley (Kel to Taobat), Kashmir, PK</v>
      </c>
      <c r="V97" t="str" cm="1">
        <f t="array" ref="V97">GetCoordinates(U97)</f>
        <v/>
      </c>
      <c r="W97" s="13" t="e" cm="1">
        <f t="array" ref="W97">TravelTime(A97,U97,AB97)</f>
        <v>#VALUE!</v>
      </c>
      <c r="X97" s="13" t="e">
        <f t="shared" si="4"/>
        <v>#VALUE!</v>
      </c>
      <c r="Y97" s="13" t="e" cm="1">
        <f t="array" ref="Y97">TravelDistance(A97,U97,AB97)</f>
        <v>#VALUE!</v>
      </c>
      <c r="Z97" s="13" t="e">
        <f t="shared" si="5"/>
        <v>#VALUE!</v>
      </c>
      <c r="AA97" s="14" t="s">
        <v>361</v>
      </c>
      <c r="AB97" t="s">
        <v>355</v>
      </c>
    </row>
    <row r="98" spans="1:28" ht="15" x14ac:dyDescent="0.25">
      <c r="A98" s="2" t="s">
        <v>18</v>
      </c>
      <c r="B98" s="2" t="s">
        <v>139</v>
      </c>
      <c r="D98" s="3" t="s">
        <v>92</v>
      </c>
      <c r="E98" s="4" t="s">
        <v>21</v>
      </c>
      <c r="F98" s="4" t="s">
        <v>155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 s="5">
        <v>1</v>
      </c>
      <c r="M98" s="5">
        <v>1</v>
      </c>
      <c r="N98" s="5">
        <v>1</v>
      </c>
      <c r="O98" s="5">
        <v>0</v>
      </c>
      <c r="P98" s="5">
        <v>0</v>
      </c>
      <c r="Q98" s="5">
        <v>0</v>
      </c>
      <c r="R98" s="5">
        <v>0</v>
      </c>
      <c r="S98" cm="1">
        <f t="array" ref="S98">GetLatitude(U98)</f>
        <v>33.114316500000001</v>
      </c>
      <c r="T98" cm="1">
        <f t="array" ref="T98">GetLongitude(U98)</f>
        <v>73.8651543</v>
      </c>
      <c r="U98" t="str">
        <f t="shared" si="3"/>
        <v>Jari Kas Park, Kashmir, PK</v>
      </c>
      <c r="V98" t="str" cm="1">
        <f t="array" ref="V98">GetCoordinates(U98)</f>
        <v>33.1143165, 73.8651543</v>
      </c>
      <c r="W98" s="13" cm="1">
        <f t="array" ref="W98">TravelTime(A98,U98,AB98)</f>
        <v>10682</v>
      </c>
      <c r="X98" s="13">
        <f t="shared" si="4"/>
        <v>178.03333333333333</v>
      </c>
      <c r="Y98" s="13" cm="1">
        <f t="array" ref="Y98">TravelDistance(A98,U98,AB98)</f>
        <v>149730</v>
      </c>
      <c r="Z98" s="13" t="str">
        <f t="shared" si="5"/>
        <v>149.73km</v>
      </c>
      <c r="AA98" s="14" t="s">
        <v>361</v>
      </c>
      <c r="AB98" t="s">
        <v>355</v>
      </c>
    </row>
    <row r="99" spans="1:28" ht="15" x14ac:dyDescent="0.25">
      <c r="A99" s="2" t="s">
        <v>18</v>
      </c>
      <c r="B99" s="2" t="s">
        <v>139</v>
      </c>
      <c r="D99" s="3" t="s">
        <v>92</v>
      </c>
      <c r="E99" s="4" t="s">
        <v>156</v>
      </c>
      <c r="F99" s="4" t="s">
        <v>155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 s="5">
        <v>1</v>
      </c>
      <c r="M99" s="5">
        <v>1</v>
      </c>
      <c r="N99" s="5">
        <v>1</v>
      </c>
      <c r="O99" s="5">
        <v>0</v>
      </c>
      <c r="P99" s="5">
        <v>0</v>
      </c>
      <c r="Q99" s="5">
        <v>0</v>
      </c>
      <c r="R99" s="5">
        <v>0</v>
      </c>
      <c r="S99" cm="1">
        <f t="array" ref="S99">GetLatitude(U99)</f>
        <v>33.114316500000001</v>
      </c>
      <c r="T99" cm="1">
        <f t="array" ref="T99">GetLongitude(U99)</f>
        <v>73.8651543</v>
      </c>
      <c r="U99" t="str">
        <f t="shared" si="3"/>
        <v>Jari Kas Park, Kashmir, PK</v>
      </c>
      <c r="V99" t="str" cm="1">
        <f t="array" ref="V99">GetCoordinates(U99)</f>
        <v>33.1143165, 73.8651543</v>
      </c>
      <c r="W99" s="13" cm="1">
        <f t="array" ref="W99">TravelTime(A99,U99,AB99)</f>
        <v>10682</v>
      </c>
      <c r="X99" s="13">
        <f t="shared" si="4"/>
        <v>178.03333333333333</v>
      </c>
      <c r="Y99" s="13" cm="1">
        <f t="array" ref="Y99">TravelDistance(A99,U99,AB99)</f>
        <v>149730</v>
      </c>
      <c r="Z99" s="13" t="str">
        <f t="shared" si="5"/>
        <v>149.73km</v>
      </c>
      <c r="AA99" s="14" t="s">
        <v>361</v>
      </c>
      <c r="AB99" t="s">
        <v>355</v>
      </c>
    </row>
    <row r="100" spans="1:28" ht="15" x14ac:dyDescent="0.25">
      <c r="A100" s="2" t="s">
        <v>18</v>
      </c>
      <c r="B100" s="2" t="s">
        <v>139</v>
      </c>
      <c r="D100" s="3" t="s">
        <v>92</v>
      </c>
      <c r="E100" s="4" t="s">
        <v>157</v>
      </c>
      <c r="F100" s="4" t="s">
        <v>155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 s="5">
        <v>1</v>
      </c>
      <c r="M100" s="5">
        <v>1</v>
      </c>
      <c r="N100" s="5">
        <v>1</v>
      </c>
      <c r="O100" s="5">
        <v>0</v>
      </c>
      <c r="P100" s="5">
        <v>0</v>
      </c>
      <c r="Q100" s="5">
        <v>0</v>
      </c>
      <c r="R100" s="5">
        <v>0</v>
      </c>
      <c r="S100" cm="1">
        <f t="array" ref="S100">GetLatitude(U100)</f>
        <v>33.114316500000001</v>
      </c>
      <c r="T100" cm="1">
        <f t="array" ref="T100">GetLongitude(U100)</f>
        <v>73.8651543</v>
      </c>
      <c r="U100" t="str">
        <f t="shared" si="3"/>
        <v>Jari Kas Park, Kashmir, PK</v>
      </c>
      <c r="V100" t="str" cm="1">
        <f t="array" ref="V100">GetCoordinates(U100)</f>
        <v>33.1143165, 73.8651543</v>
      </c>
      <c r="W100" s="13" cm="1">
        <f t="array" ref="W100">TravelTime(A100,U100,AB100)</f>
        <v>10682</v>
      </c>
      <c r="X100" s="13">
        <f t="shared" si="4"/>
        <v>178.03333333333333</v>
      </c>
      <c r="Y100" s="13" cm="1">
        <f t="array" ref="Y100">TravelDistance(A100,U100,AB100)</f>
        <v>149730</v>
      </c>
      <c r="Z100" s="13" t="str">
        <f t="shared" si="5"/>
        <v>149.73km</v>
      </c>
      <c r="AA100" s="14" t="s">
        <v>361</v>
      </c>
      <c r="AB100" t="s">
        <v>355</v>
      </c>
    </row>
    <row r="101" spans="1:28" ht="15" x14ac:dyDescent="0.25">
      <c r="A101" s="2" t="s">
        <v>18</v>
      </c>
      <c r="B101" s="2" t="s">
        <v>139</v>
      </c>
      <c r="D101" s="3" t="s">
        <v>113</v>
      </c>
      <c r="E101" s="4" t="s">
        <v>158</v>
      </c>
      <c r="F101" s="4" t="s">
        <v>159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 s="5">
        <v>1</v>
      </c>
      <c r="M101" s="5">
        <v>1</v>
      </c>
      <c r="N101" s="5">
        <v>1</v>
      </c>
      <c r="O101" s="5">
        <v>0</v>
      </c>
      <c r="P101" s="5">
        <v>0</v>
      </c>
      <c r="Q101" s="5">
        <v>0</v>
      </c>
      <c r="R101" s="5">
        <v>0</v>
      </c>
      <c r="S101" cm="1">
        <f t="array" ref="S101">GetLatitude(U101)</f>
        <v>34.096281699999999</v>
      </c>
      <c r="T101" cm="1">
        <f t="array" ref="T101">GetLongitude(U101)</f>
        <v>73.499062899999998</v>
      </c>
      <c r="U101" t="str">
        <f t="shared" si="3"/>
        <v>Kohala Bridge, Kashmir, PK</v>
      </c>
      <c r="V101" t="str" cm="1">
        <f t="array" ref="V101">GetCoordinates(U101)</f>
        <v>34.0962817, 73.4990629</v>
      </c>
      <c r="W101" s="13" cm="1">
        <f t="array" ref="W101">TravelTime(A101,U101,AB101)</f>
        <v>8530</v>
      </c>
      <c r="X101" s="13">
        <f t="shared" si="4"/>
        <v>142.16666666666666</v>
      </c>
      <c r="Y101" s="13" cm="1">
        <f t="array" ref="Y101">TravelDistance(A101,U101,AB101)</f>
        <v>98007</v>
      </c>
      <c r="Z101" s="13" t="str">
        <f t="shared" si="5"/>
        <v>98.01km</v>
      </c>
      <c r="AA101" s="14" t="s">
        <v>361</v>
      </c>
      <c r="AB101" t="s">
        <v>355</v>
      </c>
    </row>
    <row r="102" spans="1:28" ht="15" x14ac:dyDescent="0.25">
      <c r="A102" s="2" t="s">
        <v>18</v>
      </c>
      <c r="B102" s="2" t="s">
        <v>139</v>
      </c>
      <c r="D102" s="3" t="s">
        <v>113</v>
      </c>
      <c r="E102" s="4" t="s">
        <v>29</v>
      </c>
      <c r="F102" s="4" t="s">
        <v>159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 s="5">
        <v>1</v>
      </c>
      <c r="M102" s="5">
        <v>1</v>
      </c>
      <c r="N102" s="5">
        <v>1</v>
      </c>
      <c r="O102" s="5">
        <v>0</v>
      </c>
      <c r="P102" s="5">
        <v>0</v>
      </c>
      <c r="Q102" s="5">
        <v>0</v>
      </c>
      <c r="R102" s="5">
        <v>0</v>
      </c>
      <c r="S102" cm="1">
        <f t="array" ref="S102">GetLatitude(U102)</f>
        <v>34.096281699999999</v>
      </c>
      <c r="T102" cm="1">
        <f t="array" ref="T102">GetLongitude(U102)</f>
        <v>73.499062899999998</v>
      </c>
      <c r="U102" t="str">
        <f t="shared" si="3"/>
        <v>Kohala Bridge, Kashmir, PK</v>
      </c>
      <c r="V102" t="str" cm="1">
        <f t="array" ref="V102">GetCoordinates(U102)</f>
        <v>34.0962817, 73.4990629</v>
      </c>
      <c r="W102" s="13" cm="1">
        <f t="array" ref="W102">TravelTime(A102,U102,AB102)</f>
        <v>8530</v>
      </c>
      <c r="X102" s="13">
        <f t="shared" si="4"/>
        <v>142.16666666666666</v>
      </c>
      <c r="Y102" s="13" cm="1">
        <f t="array" ref="Y102">TravelDistance(A102,U102,AB102)</f>
        <v>98007</v>
      </c>
      <c r="Z102" s="13" t="str">
        <f t="shared" si="5"/>
        <v>98.01km</v>
      </c>
      <c r="AA102" s="14" t="s">
        <v>361</v>
      </c>
      <c r="AB102" t="s">
        <v>355</v>
      </c>
    </row>
    <row r="103" spans="1:28" ht="15" x14ac:dyDescent="0.25">
      <c r="A103" s="2" t="s">
        <v>18</v>
      </c>
      <c r="B103" s="2" t="s">
        <v>139</v>
      </c>
      <c r="D103" s="3" t="s">
        <v>113</v>
      </c>
      <c r="E103" s="4" t="s">
        <v>160</v>
      </c>
      <c r="F103" s="4" t="s">
        <v>161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 s="5">
        <v>1</v>
      </c>
      <c r="M103" s="5">
        <v>1</v>
      </c>
      <c r="N103" s="5">
        <v>1</v>
      </c>
      <c r="O103" s="5">
        <v>0</v>
      </c>
      <c r="P103" s="5">
        <v>0</v>
      </c>
      <c r="Q103" s="5">
        <v>0</v>
      </c>
      <c r="R103" s="5">
        <v>0</v>
      </c>
      <c r="S103" cm="1">
        <f t="array" ref="S103">GetLatitude(U103)</f>
        <v>33.1406353</v>
      </c>
      <c r="T103" cm="1">
        <f t="array" ref="T103">GetLongitude(U103)</f>
        <v>73.642583099999996</v>
      </c>
      <c r="U103" t="str">
        <f t="shared" si="3"/>
        <v>Mangla Dam, Kashmir, PK</v>
      </c>
      <c r="V103" t="str" cm="1">
        <f t="array" ref="V103">GetCoordinates(U103)</f>
        <v>33.1406353, 73.6425831</v>
      </c>
      <c r="W103" s="13" cm="1">
        <f t="array" ref="W103">TravelTime(A103,U103,AB103)</f>
        <v>8942</v>
      </c>
      <c r="X103" s="13">
        <f t="shared" si="4"/>
        <v>149.03333333333333</v>
      </c>
      <c r="Y103" s="13" cm="1">
        <f t="array" ref="Y103">TravelDistance(A103,U103,AB103)</f>
        <v>124610</v>
      </c>
      <c r="Z103" s="13" t="str">
        <f t="shared" si="5"/>
        <v>124.61km</v>
      </c>
      <c r="AA103" s="14" t="s">
        <v>361</v>
      </c>
      <c r="AB103" t="s">
        <v>355</v>
      </c>
    </row>
    <row r="104" spans="1:28" ht="15" x14ac:dyDescent="0.25">
      <c r="A104" s="2" t="s">
        <v>18</v>
      </c>
      <c r="B104" s="2" t="s">
        <v>139</v>
      </c>
      <c r="D104" s="3" t="s">
        <v>113</v>
      </c>
      <c r="E104" s="4" t="s">
        <v>21</v>
      </c>
      <c r="F104" s="4" t="s">
        <v>161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 s="5">
        <v>1</v>
      </c>
      <c r="M104" s="5">
        <v>1</v>
      </c>
      <c r="N104" s="5">
        <v>1</v>
      </c>
      <c r="O104" s="5">
        <v>0</v>
      </c>
      <c r="P104" s="5">
        <v>0</v>
      </c>
      <c r="Q104" s="5">
        <v>0</v>
      </c>
      <c r="R104" s="5">
        <v>0</v>
      </c>
      <c r="S104" cm="1">
        <f t="array" ref="S104">GetLatitude(U104)</f>
        <v>33.1406353</v>
      </c>
      <c r="T104" cm="1">
        <f t="array" ref="T104">GetLongitude(U104)</f>
        <v>73.642583099999996</v>
      </c>
      <c r="U104" t="str">
        <f t="shared" si="3"/>
        <v>Mangla Dam, Kashmir, PK</v>
      </c>
      <c r="V104" t="str" cm="1">
        <f t="array" ref="V104">GetCoordinates(U104)</f>
        <v>33.1406353, 73.6425831</v>
      </c>
      <c r="W104" s="13" cm="1">
        <f t="array" ref="W104">TravelTime(A104,U104,AB104)</f>
        <v>8942</v>
      </c>
      <c r="X104" s="13">
        <f t="shared" si="4"/>
        <v>149.03333333333333</v>
      </c>
      <c r="Y104" s="13" cm="1">
        <f t="array" ref="Y104">TravelDistance(A104,U104,AB104)</f>
        <v>124610</v>
      </c>
      <c r="Z104" s="13" t="str">
        <f t="shared" si="5"/>
        <v>124.61km</v>
      </c>
      <c r="AA104" s="14" t="s">
        <v>361</v>
      </c>
      <c r="AB104" t="s">
        <v>355</v>
      </c>
    </row>
    <row r="105" spans="1:28" ht="15" x14ac:dyDescent="0.25">
      <c r="A105" s="2" t="s">
        <v>18</v>
      </c>
      <c r="B105" s="2" t="s">
        <v>139</v>
      </c>
      <c r="D105" s="3" t="s">
        <v>52</v>
      </c>
      <c r="E105" s="4" t="s">
        <v>120</v>
      </c>
      <c r="F105" s="4" t="s">
        <v>162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 s="5">
        <v>1</v>
      </c>
      <c r="M105" s="5">
        <v>1</v>
      </c>
      <c r="N105" s="5">
        <v>1</v>
      </c>
      <c r="O105" s="5">
        <v>0</v>
      </c>
      <c r="P105" s="5">
        <v>0</v>
      </c>
      <c r="Q105" s="5">
        <v>0</v>
      </c>
      <c r="R105" s="5">
        <v>0</v>
      </c>
      <c r="S105" cm="1">
        <f t="array" ref="S105">GetLatitude(U105)</f>
        <v>33.131371999999999</v>
      </c>
      <c r="T105" cm="1">
        <f t="array" ref="T105">GetLongitude(U105)</f>
        <v>73.641266000000002</v>
      </c>
      <c r="U105" t="str">
        <f t="shared" si="3"/>
        <v>Mangla Fort, Kashmir, PK</v>
      </c>
      <c r="V105" t="str" cm="1">
        <f t="array" ref="V105">GetCoordinates(U105)</f>
        <v>33.1313720, 73.6412660</v>
      </c>
      <c r="W105" s="13" cm="1">
        <f t="array" ref="W105">TravelTime(A105,U105,AB105)</f>
        <v>8862</v>
      </c>
      <c r="X105" s="13">
        <f t="shared" si="4"/>
        <v>147.69999999999999</v>
      </c>
      <c r="Y105" s="13" cm="1">
        <f t="array" ref="Y105">TravelDistance(A105,U105,AB105)</f>
        <v>123592</v>
      </c>
      <c r="Z105" s="13" t="str">
        <f t="shared" si="5"/>
        <v>123.59km</v>
      </c>
      <c r="AA105" s="14" t="s">
        <v>361</v>
      </c>
      <c r="AB105" t="s">
        <v>355</v>
      </c>
    </row>
    <row r="106" spans="1:28" ht="15" x14ac:dyDescent="0.25">
      <c r="A106" s="2" t="s">
        <v>18</v>
      </c>
      <c r="B106" s="2" t="s">
        <v>139</v>
      </c>
      <c r="D106" s="3" t="s">
        <v>52</v>
      </c>
      <c r="E106" s="4" t="s">
        <v>29</v>
      </c>
      <c r="F106" s="4" t="s">
        <v>162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 s="5">
        <v>1</v>
      </c>
      <c r="M106" s="5">
        <v>1</v>
      </c>
      <c r="N106" s="5">
        <v>1</v>
      </c>
      <c r="O106" s="5">
        <v>0</v>
      </c>
      <c r="P106" s="5">
        <v>0</v>
      </c>
      <c r="Q106" s="5">
        <v>0</v>
      </c>
      <c r="R106" s="5">
        <v>0</v>
      </c>
      <c r="S106" cm="1">
        <f t="array" ref="S106">GetLatitude(U106)</f>
        <v>33.131371999999999</v>
      </c>
      <c r="T106" cm="1">
        <f t="array" ref="T106">GetLongitude(U106)</f>
        <v>73.641266000000002</v>
      </c>
      <c r="U106" t="str">
        <f t="shared" si="3"/>
        <v>Mangla Fort, Kashmir, PK</v>
      </c>
      <c r="V106" t="str" cm="1">
        <f t="array" ref="V106">GetCoordinates(U106)</f>
        <v>33.1313720, 73.6412660</v>
      </c>
      <c r="W106" s="13" cm="1">
        <f t="array" ref="W106">TravelTime(A106,U106,AB106)</f>
        <v>8862</v>
      </c>
      <c r="X106" s="13">
        <f t="shared" si="4"/>
        <v>147.69999999999999</v>
      </c>
      <c r="Y106" s="13" cm="1">
        <f t="array" ref="Y106">TravelDistance(A106,U106,AB106)</f>
        <v>123592</v>
      </c>
      <c r="Z106" s="13" t="str">
        <f t="shared" si="5"/>
        <v>123.59km</v>
      </c>
      <c r="AA106" s="14" t="s">
        <v>361</v>
      </c>
      <c r="AB106" t="s">
        <v>355</v>
      </c>
    </row>
    <row r="107" spans="1:28" ht="15" x14ac:dyDescent="0.25">
      <c r="A107" s="2" t="s">
        <v>18</v>
      </c>
      <c r="B107" s="2" t="s">
        <v>139</v>
      </c>
      <c r="D107" s="3" t="s">
        <v>28</v>
      </c>
      <c r="E107" s="4" t="s">
        <v>29</v>
      </c>
      <c r="F107" s="4" t="s">
        <v>163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 s="5">
        <v>1</v>
      </c>
      <c r="M107" s="5">
        <v>1</v>
      </c>
      <c r="N107" s="5">
        <v>1</v>
      </c>
      <c r="O107" s="5">
        <v>0</v>
      </c>
      <c r="P107" s="5">
        <v>0</v>
      </c>
      <c r="Q107" s="5">
        <v>0</v>
      </c>
      <c r="R107" s="5">
        <v>0</v>
      </c>
      <c r="S107" cm="1">
        <f t="array" ref="S107">GetLatitude(U107)</f>
        <v>33.778174999999997</v>
      </c>
      <c r="T107" cm="1">
        <f t="array" ref="T107">GetLongitude(U107)</f>
        <v>76.576171400000007</v>
      </c>
      <c r="U107" t="str">
        <f t="shared" si="3"/>
        <v>Mazar Miran Mir Sarkar, Kashmir, PK</v>
      </c>
      <c r="V107" t="str" cm="1">
        <f t="array" ref="V107">GetCoordinates(U107)</f>
        <v>33.7781750, 76.5761714</v>
      </c>
      <c r="W107" s="13" t="e" cm="1">
        <f t="array" ref="W107">TravelTime(A107,U107,AB107)</f>
        <v>#VALUE!</v>
      </c>
      <c r="X107" s="13" t="e">
        <f t="shared" si="4"/>
        <v>#VALUE!</v>
      </c>
      <c r="Y107" s="13" t="e" cm="1">
        <f t="array" ref="Y107">TravelDistance(A107,U107,AB107)</f>
        <v>#VALUE!</v>
      </c>
      <c r="Z107" s="13" t="e">
        <f t="shared" si="5"/>
        <v>#VALUE!</v>
      </c>
      <c r="AA107" s="14" t="s">
        <v>361</v>
      </c>
      <c r="AB107" t="s">
        <v>355</v>
      </c>
    </row>
    <row r="108" spans="1:28" ht="15" x14ac:dyDescent="0.25">
      <c r="A108" s="2" t="s">
        <v>18</v>
      </c>
      <c r="B108" s="2" t="s">
        <v>139</v>
      </c>
      <c r="D108" s="3" t="s">
        <v>28</v>
      </c>
      <c r="E108" s="4" t="s">
        <v>120</v>
      </c>
      <c r="F108" s="4" t="s">
        <v>163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 s="5">
        <v>1</v>
      </c>
      <c r="M108" s="5">
        <v>1</v>
      </c>
      <c r="N108" s="5">
        <v>1</v>
      </c>
      <c r="O108" s="5">
        <v>0</v>
      </c>
      <c r="P108" s="5">
        <v>0</v>
      </c>
      <c r="Q108" s="5">
        <v>0</v>
      </c>
      <c r="R108" s="5">
        <v>0</v>
      </c>
      <c r="S108" cm="1">
        <f t="array" ref="S108">GetLatitude(U108)</f>
        <v>33.778174999999997</v>
      </c>
      <c r="T108" cm="1">
        <f t="array" ref="T108">GetLongitude(U108)</f>
        <v>76.576171400000007</v>
      </c>
      <c r="U108" t="str">
        <f t="shared" si="3"/>
        <v>Mazar Miran Mir Sarkar, Kashmir, PK</v>
      </c>
      <c r="V108" t="str" cm="1">
        <f t="array" ref="V108">GetCoordinates(U108)</f>
        <v>33.7781750, 76.5761714</v>
      </c>
      <c r="W108" s="13" t="e" cm="1">
        <f t="array" ref="W108">TravelTime(A108,U108,AB108)</f>
        <v>#VALUE!</v>
      </c>
      <c r="X108" s="13" t="e">
        <f t="shared" si="4"/>
        <v>#VALUE!</v>
      </c>
      <c r="Y108" s="13" t="e" cm="1">
        <f t="array" ref="Y108">TravelDistance(A108,U108,AB108)</f>
        <v>#VALUE!</v>
      </c>
      <c r="Z108" s="13" t="e">
        <f t="shared" si="5"/>
        <v>#VALUE!</v>
      </c>
      <c r="AA108" s="14" t="s">
        <v>361</v>
      </c>
      <c r="AB108" t="s">
        <v>355</v>
      </c>
    </row>
    <row r="109" spans="1:28" ht="15" x14ac:dyDescent="0.25">
      <c r="A109" s="2" t="s">
        <v>18</v>
      </c>
      <c r="B109" s="2" t="s">
        <v>139</v>
      </c>
      <c r="D109" s="3" t="s">
        <v>28</v>
      </c>
      <c r="E109" s="4" t="s">
        <v>106</v>
      </c>
      <c r="F109" s="4" t="s">
        <v>164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 s="5">
        <v>1</v>
      </c>
      <c r="M109" s="5">
        <v>1</v>
      </c>
      <c r="N109" s="5">
        <v>1</v>
      </c>
      <c r="O109" s="5">
        <v>0</v>
      </c>
      <c r="P109" s="5">
        <v>0</v>
      </c>
      <c r="Q109" s="5">
        <v>0</v>
      </c>
      <c r="R109" s="5">
        <v>0</v>
      </c>
      <c r="S109" cm="1">
        <f t="array" ref="S109">GetLatitude(U109)</f>
        <v>33.147984899999997</v>
      </c>
      <c r="T109" cm="1">
        <f t="array" ref="T109">GetLongitude(U109)</f>
        <v>73.753669500000001</v>
      </c>
      <c r="U109" t="str">
        <f t="shared" si="3"/>
        <v>Mirpur Old City Ruins, Kashmir, PK</v>
      </c>
      <c r="V109" t="str" cm="1">
        <f t="array" ref="V109">GetCoordinates(U109)</f>
        <v>33.1479849, 73.7536695</v>
      </c>
      <c r="W109" s="13" cm="1">
        <f t="array" ref="W109">TravelTime(A109,U109,AB109)</f>
        <v>9720</v>
      </c>
      <c r="X109" s="13">
        <f t="shared" si="4"/>
        <v>162</v>
      </c>
      <c r="Y109" s="13" cm="1">
        <f t="array" ref="Y109">TravelDistance(A109,U109,AB109)</f>
        <v>133869</v>
      </c>
      <c r="Z109" s="13" t="str">
        <f t="shared" si="5"/>
        <v>133.87km</v>
      </c>
      <c r="AA109" s="14" t="s">
        <v>361</v>
      </c>
      <c r="AB109" t="s">
        <v>355</v>
      </c>
    </row>
    <row r="110" spans="1:28" ht="15" x14ac:dyDescent="0.25">
      <c r="A110" s="2" t="s">
        <v>18</v>
      </c>
      <c r="B110" s="2" t="s">
        <v>139</v>
      </c>
      <c r="D110" s="3" t="s">
        <v>28</v>
      </c>
      <c r="E110" s="4" t="s">
        <v>120</v>
      </c>
      <c r="F110" s="4" t="s">
        <v>164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 s="5">
        <v>1</v>
      </c>
      <c r="M110" s="5">
        <v>1</v>
      </c>
      <c r="N110" s="5">
        <v>1</v>
      </c>
      <c r="O110" s="5">
        <v>0</v>
      </c>
      <c r="P110" s="5">
        <v>0</v>
      </c>
      <c r="Q110" s="5">
        <v>0</v>
      </c>
      <c r="R110" s="5">
        <v>0</v>
      </c>
      <c r="S110" cm="1">
        <f t="array" ref="S110">GetLatitude(U110)</f>
        <v>33.147984899999997</v>
      </c>
      <c r="T110" cm="1">
        <f t="array" ref="T110">GetLongitude(U110)</f>
        <v>73.753669500000001</v>
      </c>
      <c r="U110" t="str">
        <f t="shared" si="3"/>
        <v>Mirpur Old City Ruins, Kashmir, PK</v>
      </c>
      <c r="V110" t="str" cm="1">
        <f t="array" ref="V110">GetCoordinates(U110)</f>
        <v>33.1479849, 73.7536695</v>
      </c>
      <c r="W110" s="13" cm="1">
        <f t="array" ref="W110">TravelTime(A110,U110,AB110)</f>
        <v>9720</v>
      </c>
      <c r="X110" s="13">
        <f t="shared" si="4"/>
        <v>162</v>
      </c>
      <c r="Y110" s="13" cm="1">
        <f t="array" ref="Y110">TravelDistance(A110,U110,AB110)</f>
        <v>133869</v>
      </c>
      <c r="Z110" s="13" t="str">
        <f t="shared" si="5"/>
        <v>133.87km</v>
      </c>
      <c r="AA110" s="14" t="s">
        <v>361</v>
      </c>
      <c r="AB110" t="s">
        <v>355</v>
      </c>
    </row>
    <row r="111" spans="1:28" ht="15" x14ac:dyDescent="0.25">
      <c r="A111" s="2" t="s">
        <v>18</v>
      </c>
      <c r="B111" s="2" t="s">
        <v>139</v>
      </c>
      <c r="D111" s="3" t="s">
        <v>28</v>
      </c>
      <c r="E111" s="4" t="s">
        <v>142</v>
      </c>
      <c r="F111" s="4" t="s">
        <v>164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 s="5">
        <v>1</v>
      </c>
      <c r="M111" s="5">
        <v>1</v>
      </c>
      <c r="N111" s="5">
        <v>1</v>
      </c>
      <c r="O111" s="5">
        <v>0</v>
      </c>
      <c r="P111" s="5">
        <v>0</v>
      </c>
      <c r="Q111" s="5">
        <v>0</v>
      </c>
      <c r="R111" s="5">
        <v>0</v>
      </c>
      <c r="S111" cm="1">
        <f t="array" ref="S111">GetLatitude(U111)</f>
        <v>33.147984899999997</v>
      </c>
      <c r="T111" cm="1">
        <f t="array" ref="T111">GetLongitude(U111)</f>
        <v>73.753669500000001</v>
      </c>
      <c r="U111" t="str">
        <f t="shared" si="3"/>
        <v>Mirpur Old City Ruins, Kashmir, PK</v>
      </c>
      <c r="V111" t="str" cm="1">
        <f t="array" ref="V111">GetCoordinates(U111)</f>
        <v>33.1479849, 73.7536695</v>
      </c>
      <c r="W111" s="13" cm="1">
        <f t="array" ref="W111">TravelTime(A111,U111,AB111)</f>
        <v>9720</v>
      </c>
      <c r="X111" s="13">
        <f t="shared" si="4"/>
        <v>162</v>
      </c>
      <c r="Y111" s="13" cm="1">
        <f t="array" ref="Y111">TravelDistance(A111,U111,AB111)</f>
        <v>133869</v>
      </c>
      <c r="Z111" s="13" t="str">
        <f t="shared" si="5"/>
        <v>133.87km</v>
      </c>
      <c r="AA111" s="14" t="s">
        <v>361</v>
      </c>
      <c r="AB111" t="s">
        <v>355</v>
      </c>
    </row>
    <row r="112" spans="1:28" ht="15" x14ac:dyDescent="0.25">
      <c r="A112" s="2" t="s">
        <v>18</v>
      </c>
      <c r="B112" s="2" t="s">
        <v>139</v>
      </c>
      <c r="D112" s="3" t="s">
        <v>28</v>
      </c>
      <c r="E112" s="4" t="s">
        <v>29</v>
      </c>
      <c r="F112" s="4" t="s">
        <v>164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 s="5">
        <v>1</v>
      </c>
      <c r="M112" s="5">
        <v>1</v>
      </c>
      <c r="N112" s="5">
        <v>1</v>
      </c>
      <c r="O112" s="5">
        <v>0</v>
      </c>
      <c r="P112" s="5">
        <v>0</v>
      </c>
      <c r="Q112" s="5">
        <v>0</v>
      </c>
      <c r="R112" s="5">
        <v>0</v>
      </c>
      <c r="S112" cm="1">
        <f t="array" ref="S112">GetLatitude(U112)</f>
        <v>33.147984899999997</v>
      </c>
      <c r="T112" cm="1">
        <f t="array" ref="T112">GetLongitude(U112)</f>
        <v>73.753669500000001</v>
      </c>
      <c r="U112" t="str">
        <f t="shared" si="3"/>
        <v>Mirpur Old City Ruins, Kashmir, PK</v>
      </c>
      <c r="V112" t="str" cm="1">
        <f t="array" ref="V112">GetCoordinates(U112)</f>
        <v>33.1479849, 73.7536695</v>
      </c>
      <c r="W112" s="13" cm="1">
        <f t="array" ref="W112">TravelTime(A112,U112,AB112)</f>
        <v>9720</v>
      </c>
      <c r="X112" s="13">
        <f t="shared" si="4"/>
        <v>162</v>
      </c>
      <c r="Y112" s="13" cm="1">
        <f t="array" ref="Y112">TravelDistance(A112,U112,AB112)</f>
        <v>133869</v>
      </c>
      <c r="Z112" s="13" t="str">
        <f t="shared" si="5"/>
        <v>133.87km</v>
      </c>
      <c r="AA112" s="14" t="s">
        <v>361</v>
      </c>
      <c r="AB112" t="s">
        <v>355</v>
      </c>
    </row>
    <row r="113" spans="1:28" ht="15" x14ac:dyDescent="0.25">
      <c r="A113" s="2" t="s">
        <v>18</v>
      </c>
      <c r="B113" s="2" t="s">
        <v>139</v>
      </c>
      <c r="D113" s="3" t="s">
        <v>113</v>
      </c>
      <c r="E113" s="4" t="s">
        <v>29</v>
      </c>
      <c r="F113" s="4" t="s">
        <v>165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 s="5">
        <v>1</v>
      </c>
      <c r="M113" s="5">
        <v>1</v>
      </c>
      <c r="N113" s="5">
        <v>1</v>
      </c>
      <c r="O113" s="5">
        <v>0</v>
      </c>
      <c r="P113" s="5">
        <v>0</v>
      </c>
      <c r="Q113" s="5">
        <v>0</v>
      </c>
      <c r="R113" s="5">
        <v>0</v>
      </c>
      <c r="S113" cm="1">
        <f t="array" ref="S113">GetLatitude(U113)</f>
        <v>34.396098000000002</v>
      </c>
      <c r="T113" cm="1">
        <f t="array" ref="T113">GetLongitude(U113)</f>
        <v>73.718840999999998</v>
      </c>
      <c r="U113" t="str">
        <f t="shared" si="3"/>
        <v>Neelum Jhelum Power Plant, Kashmir, PK</v>
      </c>
      <c r="V113" t="str" cm="1">
        <f t="array" ref="V113">GetCoordinates(U113)</f>
        <v>34.3960980, 73.7188410</v>
      </c>
      <c r="W113" s="13" cm="1">
        <f t="array" ref="W113">TravelTime(A113,U113,AB113)</f>
        <v>16426</v>
      </c>
      <c r="X113" s="13">
        <f t="shared" si="4"/>
        <v>273.76666666666665</v>
      </c>
      <c r="Y113" s="13" cm="1">
        <f t="array" ref="Y113">TravelDistance(A113,U113,AB113)</f>
        <v>175961</v>
      </c>
      <c r="Z113" s="13" t="str">
        <f t="shared" si="5"/>
        <v>175.96km</v>
      </c>
      <c r="AA113" s="14" t="s">
        <v>361</v>
      </c>
      <c r="AB113" t="s">
        <v>355</v>
      </c>
    </row>
    <row r="114" spans="1:28" ht="15" x14ac:dyDescent="0.25">
      <c r="A114" s="2" t="s">
        <v>18</v>
      </c>
      <c r="B114" s="2" t="s">
        <v>139</v>
      </c>
      <c r="D114" s="3" t="s">
        <v>113</v>
      </c>
      <c r="E114" s="4" t="s">
        <v>106</v>
      </c>
      <c r="F114" s="4" t="s">
        <v>165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 s="5">
        <v>1</v>
      </c>
      <c r="M114" s="5">
        <v>1</v>
      </c>
      <c r="N114" s="5">
        <v>1</v>
      </c>
      <c r="O114" s="5">
        <v>0</v>
      </c>
      <c r="P114" s="5">
        <v>0</v>
      </c>
      <c r="Q114" s="5">
        <v>0</v>
      </c>
      <c r="R114" s="5">
        <v>0</v>
      </c>
      <c r="S114" cm="1">
        <f t="array" ref="S114">GetLatitude(U114)</f>
        <v>34.396098000000002</v>
      </c>
      <c r="T114" cm="1">
        <f t="array" ref="T114">GetLongitude(U114)</f>
        <v>73.718840999999998</v>
      </c>
      <c r="U114" t="str">
        <f t="shared" si="3"/>
        <v>Neelum Jhelum Power Plant, Kashmir, PK</v>
      </c>
      <c r="V114" t="str" cm="1">
        <f t="array" ref="V114">GetCoordinates(U114)</f>
        <v>34.3960980, 73.7188410</v>
      </c>
      <c r="W114" s="13" cm="1">
        <f t="array" ref="W114">TravelTime(A114,U114,AB114)</f>
        <v>16426</v>
      </c>
      <c r="X114" s="13">
        <f t="shared" si="4"/>
        <v>273.76666666666665</v>
      </c>
      <c r="Y114" s="13" cm="1">
        <f t="array" ref="Y114">TravelDistance(A114,U114,AB114)</f>
        <v>175961</v>
      </c>
      <c r="Z114" s="13" t="str">
        <f t="shared" si="5"/>
        <v>175.96km</v>
      </c>
      <c r="AA114" s="14" t="s">
        <v>361</v>
      </c>
      <c r="AB114" t="s">
        <v>355</v>
      </c>
    </row>
    <row r="115" spans="1:28" ht="15" x14ac:dyDescent="0.25">
      <c r="A115" s="2" t="s">
        <v>18</v>
      </c>
      <c r="B115" s="2" t="s">
        <v>139</v>
      </c>
      <c r="D115" s="3" t="s">
        <v>31</v>
      </c>
      <c r="E115" s="4" t="s">
        <v>21</v>
      </c>
      <c r="F115" s="4" t="s">
        <v>166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 s="5">
        <v>1</v>
      </c>
      <c r="M115" s="5">
        <v>1</v>
      </c>
      <c r="N115" s="5">
        <v>1</v>
      </c>
      <c r="O115" s="5">
        <v>0</v>
      </c>
      <c r="P115" s="5">
        <v>0</v>
      </c>
      <c r="Q115" s="5">
        <v>0</v>
      </c>
      <c r="R115" s="5">
        <v>0</v>
      </c>
      <c r="S115" cm="1">
        <f t="array" ref="S115">GetLatitude(U115)</f>
        <v>34.360513500000003</v>
      </c>
      <c r="T115" cm="1">
        <f t="array" ref="T115">GetLongitude(U115)</f>
        <v>73.471090799999999</v>
      </c>
      <c r="U115" t="str">
        <f t="shared" si="3"/>
        <v>Neelum River, Kashmir, PK</v>
      </c>
      <c r="V115" t="str" cm="1">
        <f t="array" ref="V115">GetCoordinates(U115)</f>
        <v>34.3605135, 73.4710908</v>
      </c>
      <c r="W115" s="13" cm="1">
        <f t="array" ref="W115">TravelTime(A115,U115,AB115)</f>
        <v>11723</v>
      </c>
      <c r="X115" s="13">
        <f t="shared" si="4"/>
        <v>195.38333333333333</v>
      </c>
      <c r="Y115" s="13" cm="1">
        <f t="array" ref="Y115">TravelDistance(A115,U115,AB115)</f>
        <v>134334</v>
      </c>
      <c r="Z115" s="13" t="str">
        <f t="shared" si="5"/>
        <v>134.33km</v>
      </c>
      <c r="AA115" s="14" t="s">
        <v>361</v>
      </c>
      <c r="AB115" t="s">
        <v>355</v>
      </c>
    </row>
    <row r="116" spans="1:28" ht="15" x14ac:dyDescent="0.25">
      <c r="A116" s="2" t="s">
        <v>18</v>
      </c>
      <c r="B116" s="2" t="s">
        <v>139</v>
      </c>
      <c r="D116" s="3" t="s">
        <v>31</v>
      </c>
      <c r="E116" s="4" t="s">
        <v>115</v>
      </c>
      <c r="F116" s="4" t="s">
        <v>166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 s="5">
        <v>1</v>
      </c>
      <c r="M116" s="5">
        <v>1</v>
      </c>
      <c r="N116" s="5">
        <v>1</v>
      </c>
      <c r="O116" s="5">
        <v>0</v>
      </c>
      <c r="P116" s="5">
        <v>0</v>
      </c>
      <c r="Q116" s="5">
        <v>0</v>
      </c>
      <c r="R116" s="5">
        <v>0</v>
      </c>
      <c r="S116" cm="1">
        <f t="array" ref="S116">GetLatitude(U116)</f>
        <v>34.360513500000003</v>
      </c>
      <c r="T116" cm="1">
        <f t="array" ref="T116">GetLongitude(U116)</f>
        <v>73.471090799999999</v>
      </c>
      <c r="U116" t="str">
        <f t="shared" si="3"/>
        <v>Neelum River, Kashmir, PK</v>
      </c>
      <c r="V116" t="str" cm="1">
        <f t="array" ref="V116">GetCoordinates(U116)</f>
        <v>34.3605135, 73.4710908</v>
      </c>
      <c r="W116" s="13" cm="1">
        <f t="array" ref="W116">TravelTime(A116,U116,AB116)</f>
        <v>11723</v>
      </c>
      <c r="X116" s="13">
        <f t="shared" si="4"/>
        <v>195.38333333333333</v>
      </c>
      <c r="Y116" s="13" cm="1">
        <f t="array" ref="Y116">TravelDistance(A116,U116,AB116)</f>
        <v>134334</v>
      </c>
      <c r="Z116" s="13" t="str">
        <f t="shared" si="5"/>
        <v>134.33km</v>
      </c>
      <c r="AA116" s="14" t="s">
        <v>361</v>
      </c>
      <c r="AB116" t="s">
        <v>355</v>
      </c>
    </row>
    <row r="117" spans="1:28" ht="15" x14ac:dyDescent="0.25">
      <c r="A117" s="2" t="s">
        <v>18</v>
      </c>
      <c r="B117" s="2" t="s">
        <v>139</v>
      </c>
      <c r="D117" s="3" t="s">
        <v>31</v>
      </c>
      <c r="E117" s="4" t="s">
        <v>21</v>
      </c>
      <c r="F117" s="4" t="s">
        <v>167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 s="5">
        <v>1</v>
      </c>
      <c r="M117" s="5">
        <v>1</v>
      </c>
      <c r="N117" s="5">
        <v>1</v>
      </c>
      <c r="O117" s="5">
        <v>0</v>
      </c>
      <c r="P117" s="5">
        <v>0</v>
      </c>
      <c r="Q117" s="5">
        <v>0</v>
      </c>
      <c r="R117" s="5">
        <v>0</v>
      </c>
      <c r="S117" cm="1">
        <f t="array" ref="S117">GetLatitude(U117)</f>
        <v>34.5984792</v>
      </c>
      <c r="T117" cm="1">
        <f t="array" ref="T117">GetLongitude(U117)</f>
        <v>73.907296599999995</v>
      </c>
      <c r="U117" t="str">
        <f t="shared" si="3"/>
        <v>Neelum Valley, Kashmir, PK</v>
      </c>
      <c r="V117" t="str" cm="1">
        <f t="array" ref="V117">GetCoordinates(U117)</f>
        <v>34.5984792, 73.9072966</v>
      </c>
      <c r="W117" s="13" cm="1">
        <f t="array" ref="W117">TravelTime(A117,U117,AB117)</f>
        <v>24332</v>
      </c>
      <c r="X117" s="13">
        <f t="shared" si="4"/>
        <v>405.53333333333336</v>
      </c>
      <c r="Y117" s="13" cm="1">
        <f t="array" ref="Y117">TravelDistance(A117,U117,AB117)</f>
        <v>234873</v>
      </c>
      <c r="Z117" s="13" t="str">
        <f t="shared" si="5"/>
        <v>234.87km</v>
      </c>
      <c r="AA117" s="14" t="s">
        <v>361</v>
      </c>
      <c r="AB117" t="s">
        <v>355</v>
      </c>
    </row>
    <row r="118" spans="1:28" ht="15" x14ac:dyDescent="0.25">
      <c r="A118" s="2" t="s">
        <v>18</v>
      </c>
      <c r="B118" s="2" t="s">
        <v>139</v>
      </c>
      <c r="D118" s="3" t="s">
        <v>31</v>
      </c>
      <c r="E118" s="4" t="s">
        <v>140</v>
      </c>
      <c r="F118" s="4" t="s">
        <v>167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 s="5">
        <v>1</v>
      </c>
      <c r="M118" s="5">
        <v>1</v>
      </c>
      <c r="N118" s="5">
        <v>1</v>
      </c>
      <c r="O118" s="5">
        <v>0</v>
      </c>
      <c r="P118" s="5">
        <v>0</v>
      </c>
      <c r="Q118" s="5">
        <v>0</v>
      </c>
      <c r="R118" s="5">
        <v>0</v>
      </c>
      <c r="S118" cm="1">
        <f t="array" ref="S118">GetLatitude(U118)</f>
        <v>34.5984792</v>
      </c>
      <c r="T118" cm="1">
        <f t="array" ref="T118">GetLongitude(U118)</f>
        <v>73.907296599999995</v>
      </c>
      <c r="U118" t="str">
        <f t="shared" si="3"/>
        <v>Neelum Valley, Kashmir, PK</v>
      </c>
      <c r="V118" t="str" cm="1">
        <f t="array" ref="V118">GetCoordinates(U118)</f>
        <v>34.5984792, 73.9072966</v>
      </c>
      <c r="W118" s="13" cm="1">
        <f t="array" ref="W118">TravelTime(A118,U118,AB118)</f>
        <v>24332</v>
      </c>
      <c r="X118" s="13">
        <f t="shared" si="4"/>
        <v>405.53333333333336</v>
      </c>
      <c r="Y118" s="13" cm="1">
        <f t="array" ref="Y118">TravelDistance(A118,U118,AB118)</f>
        <v>234873</v>
      </c>
      <c r="Z118" s="13" t="str">
        <f t="shared" si="5"/>
        <v>234.87km</v>
      </c>
      <c r="AA118" s="14" t="s">
        <v>361</v>
      </c>
      <c r="AB118" t="s">
        <v>355</v>
      </c>
    </row>
    <row r="119" spans="1:28" ht="15" x14ac:dyDescent="0.25">
      <c r="A119" s="2" t="s">
        <v>18</v>
      </c>
      <c r="B119" s="2" t="s">
        <v>139</v>
      </c>
      <c r="D119" s="3" t="s">
        <v>88</v>
      </c>
      <c r="E119" s="4" t="s">
        <v>153</v>
      </c>
      <c r="F119" s="4" t="s">
        <v>168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 s="5">
        <v>1</v>
      </c>
      <c r="M119" s="5">
        <v>1</v>
      </c>
      <c r="N119" s="5">
        <v>1</v>
      </c>
      <c r="O119" s="5">
        <v>0</v>
      </c>
      <c r="P119" s="5">
        <v>0</v>
      </c>
      <c r="Q119" s="5">
        <v>0</v>
      </c>
      <c r="R119" s="5">
        <v>0</v>
      </c>
      <c r="S119" cm="1">
        <f t="array" ref="S119">GetLatitude(U119)</f>
        <v>33.832425800000003</v>
      </c>
      <c r="T119" cm="1">
        <f t="array" ref="T119">GetLongitude(U119)</f>
        <v>73.733221700000001</v>
      </c>
      <c r="U119" t="str">
        <f t="shared" si="3"/>
        <v>Nergola Waterfall, Kashmir, PK</v>
      </c>
      <c r="V119" t="str" cm="1">
        <f t="array" ref="V119">GetCoordinates(U119)</f>
        <v>33.8324258, 73.7332217</v>
      </c>
      <c r="W119" s="13" cm="1">
        <f t="array" ref="W119">TravelTime(A119,U119,AB119)</f>
        <v>10569</v>
      </c>
      <c r="X119" s="13">
        <f t="shared" si="4"/>
        <v>176.15</v>
      </c>
      <c r="Y119" s="13" cm="1">
        <f t="array" ref="Y119">TravelDistance(A119,U119,AB119)</f>
        <v>109061</v>
      </c>
      <c r="Z119" s="13" t="str">
        <f t="shared" si="5"/>
        <v>109.06km</v>
      </c>
      <c r="AA119" s="14" t="s">
        <v>361</v>
      </c>
      <c r="AB119" t="s">
        <v>355</v>
      </c>
    </row>
    <row r="120" spans="1:28" ht="15" x14ac:dyDescent="0.25">
      <c r="A120" s="2" t="s">
        <v>18</v>
      </c>
      <c r="B120" s="2" t="s">
        <v>139</v>
      </c>
      <c r="D120" s="3" t="s">
        <v>88</v>
      </c>
      <c r="E120" s="4" t="s">
        <v>21</v>
      </c>
      <c r="F120" s="4" t="s">
        <v>168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 s="5">
        <v>1</v>
      </c>
      <c r="M120" s="5">
        <v>1</v>
      </c>
      <c r="N120" s="5">
        <v>1</v>
      </c>
      <c r="O120" s="5">
        <v>0</v>
      </c>
      <c r="P120" s="5">
        <v>0</v>
      </c>
      <c r="Q120" s="5">
        <v>0</v>
      </c>
      <c r="R120" s="5">
        <v>0</v>
      </c>
      <c r="S120" cm="1">
        <f t="array" ref="S120">GetLatitude(U120)</f>
        <v>33.832425800000003</v>
      </c>
      <c r="T120" cm="1">
        <f t="array" ref="T120">GetLongitude(U120)</f>
        <v>73.733221700000001</v>
      </c>
      <c r="U120" t="str">
        <f t="shared" si="3"/>
        <v>Nergola Waterfall, Kashmir, PK</v>
      </c>
      <c r="V120" t="str" cm="1">
        <f t="array" ref="V120">GetCoordinates(U120)</f>
        <v>33.8324258, 73.7332217</v>
      </c>
      <c r="W120" s="13" cm="1">
        <f t="array" ref="W120">TravelTime(A120,U120,AB120)</f>
        <v>10569</v>
      </c>
      <c r="X120" s="13">
        <f t="shared" si="4"/>
        <v>176.15</v>
      </c>
      <c r="Y120" s="13" cm="1">
        <f t="array" ref="Y120">TravelDistance(A120,U120,AB120)</f>
        <v>109061</v>
      </c>
      <c r="Z120" s="13" t="str">
        <f t="shared" si="5"/>
        <v>109.06km</v>
      </c>
      <c r="AA120" s="14" t="s">
        <v>361</v>
      </c>
      <c r="AB120" t="s">
        <v>355</v>
      </c>
    </row>
    <row r="121" spans="1:28" ht="15" x14ac:dyDescent="0.25">
      <c r="A121" s="2" t="s">
        <v>18</v>
      </c>
      <c r="B121" s="2" t="s">
        <v>139</v>
      </c>
      <c r="D121" s="3" t="s">
        <v>88</v>
      </c>
      <c r="E121" s="4" t="s">
        <v>169</v>
      </c>
      <c r="F121" s="4" t="s">
        <v>168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 s="5">
        <v>1</v>
      </c>
      <c r="M121" s="5">
        <v>1</v>
      </c>
      <c r="N121" s="5">
        <v>1</v>
      </c>
      <c r="O121" s="5">
        <v>0</v>
      </c>
      <c r="P121" s="5">
        <v>0</v>
      </c>
      <c r="Q121" s="5">
        <v>0</v>
      </c>
      <c r="R121" s="5">
        <v>0</v>
      </c>
      <c r="S121" cm="1">
        <f t="array" ref="S121">GetLatitude(U121)</f>
        <v>33.832425800000003</v>
      </c>
      <c r="T121" cm="1">
        <f t="array" ref="T121">GetLongitude(U121)</f>
        <v>73.733221700000001</v>
      </c>
      <c r="U121" t="str">
        <f t="shared" si="3"/>
        <v>Nergola Waterfall, Kashmir, PK</v>
      </c>
      <c r="V121" t="str" cm="1">
        <f t="array" ref="V121">GetCoordinates(U121)</f>
        <v>33.8324258, 73.7332217</v>
      </c>
      <c r="W121" s="13" cm="1">
        <f t="array" ref="W121">TravelTime(A121,U121,AB121)</f>
        <v>10569</v>
      </c>
      <c r="X121" s="13">
        <f t="shared" si="4"/>
        <v>176.15</v>
      </c>
      <c r="Y121" s="13" cm="1">
        <f t="array" ref="Y121">TravelDistance(A121,U121,AB121)</f>
        <v>109061</v>
      </c>
      <c r="Z121" s="13" t="str">
        <f t="shared" si="5"/>
        <v>109.06km</v>
      </c>
      <c r="AA121" s="14" t="s">
        <v>361</v>
      </c>
      <c r="AB121" t="s">
        <v>355</v>
      </c>
    </row>
    <row r="122" spans="1:28" ht="15" x14ac:dyDescent="0.25">
      <c r="A122" s="2" t="s">
        <v>18</v>
      </c>
      <c r="B122" s="2" t="s">
        <v>139</v>
      </c>
      <c r="D122" s="3" t="s">
        <v>88</v>
      </c>
      <c r="E122" s="4" t="s">
        <v>170</v>
      </c>
      <c r="F122" s="4" t="s">
        <v>168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 s="5">
        <v>1</v>
      </c>
      <c r="M122" s="5">
        <v>1</v>
      </c>
      <c r="N122" s="5">
        <v>1</v>
      </c>
      <c r="O122" s="5">
        <v>0</v>
      </c>
      <c r="P122" s="5">
        <v>0</v>
      </c>
      <c r="Q122" s="5">
        <v>0</v>
      </c>
      <c r="R122" s="5">
        <v>0</v>
      </c>
      <c r="S122" cm="1">
        <f t="array" ref="S122">GetLatitude(U122)</f>
        <v>33.832425800000003</v>
      </c>
      <c r="T122" cm="1">
        <f t="array" ref="T122">GetLongitude(U122)</f>
        <v>73.733221700000001</v>
      </c>
      <c r="U122" t="str">
        <f t="shared" si="3"/>
        <v>Nergola Waterfall, Kashmir, PK</v>
      </c>
      <c r="V122" t="str" cm="1">
        <f t="array" ref="V122">GetCoordinates(U122)</f>
        <v>33.8324258, 73.7332217</v>
      </c>
      <c r="W122" s="13" cm="1">
        <f t="array" ref="W122">TravelTime(A122,U122,AB122)</f>
        <v>10569</v>
      </c>
      <c r="X122" s="13">
        <f t="shared" si="4"/>
        <v>176.15</v>
      </c>
      <c r="Y122" s="13" cm="1">
        <f t="array" ref="Y122">TravelDistance(A122,U122,AB122)</f>
        <v>109061</v>
      </c>
      <c r="Z122" s="13" t="str">
        <f t="shared" si="5"/>
        <v>109.06km</v>
      </c>
      <c r="AA122" s="14" t="s">
        <v>361</v>
      </c>
      <c r="AB122" t="s">
        <v>355</v>
      </c>
    </row>
    <row r="123" spans="1:28" ht="15" x14ac:dyDescent="0.25">
      <c r="A123" s="2" t="s">
        <v>18</v>
      </c>
      <c r="B123" s="2" t="s">
        <v>139</v>
      </c>
      <c r="D123" s="3" t="s">
        <v>88</v>
      </c>
      <c r="E123" s="4" t="s">
        <v>147</v>
      </c>
      <c r="F123" s="4" t="s">
        <v>168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 s="5">
        <v>1</v>
      </c>
      <c r="M123" s="5">
        <v>1</v>
      </c>
      <c r="N123" s="5">
        <v>1</v>
      </c>
      <c r="O123" s="5">
        <v>0</v>
      </c>
      <c r="P123" s="5">
        <v>0</v>
      </c>
      <c r="Q123" s="5">
        <v>0</v>
      </c>
      <c r="R123" s="5">
        <v>0</v>
      </c>
      <c r="S123" cm="1">
        <f t="array" ref="S123">GetLatitude(U123)</f>
        <v>33.832425800000003</v>
      </c>
      <c r="T123" cm="1">
        <f t="array" ref="T123">GetLongitude(U123)</f>
        <v>73.733221700000001</v>
      </c>
      <c r="U123" t="str">
        <f t="shared" si="3"/>
        <v>Nergola Waterfall, Kashmir, PK</v>
      </c>
      <c r="V123" t="str" cm="1">
        <f t="array" ref="V123">GetCoordinates(U123)</f>
        <v>33.8324258, 73.7332217</v>
      </c>
      <c r="W123" s="13" cm="1">
        <f t="array" ref="W123">TravelTime(A123,U123,AB123)</f>
        <v>10569</v>
      </c>
      <c r="X123" s="13">
        <f t="shared" si="4"/>
        <v>176.15</v>
      </c>
      <c r="Y123" s="13" cm="1">
        <f t="array" ref="Y123">TravelDistance(A123,U123,AB123)</f>
        <v>109061</v>
      </c>
      <c r="Z123" s="13" t="str">
        <f t="shared" si="5"/>
        <v>109.06km</v>
      </c>
      <c r="AA123" s="14" t="s">
        <v>361</v>
      </c>
      <c r="AB123" t="s">
        <v>355</v>
      </c>
    </row>
    <row r="124" spans="1:28" ht="15" x14ac:dyDescent="0.25">
      <c r="A124" s="2" t="s">
        <v>18</v>
      </c>
      <c r="B124" s="2" t="s">
        <v>139</v>
      </c>
      <c r="D124" s="3" t="s">
        <v>28</v>
      </c>
      <c r="E124" s="4" t="s">
        <v>120</v>
      </c>
      <c r="F124" s="4" t="s">
        <v>171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 s="5">
        <v>1</v>
      </c>
      <c r="M124" s="5">
        <v>1</v>
      </c>
      <c r="N124" s="5">
        <v>1</v>
      </c>
      <c r="O124" s="5">
        <v>0</v>
      </c>
      <c r="P124" s="5">
        <v>0</v>
      </c>
      <c r="Q124" s="5">
        <v>0</v>
      </c>
      <c r="R124" s="5">
        <v>0</v>
      </c>
      <c r="S124" cm="1">
        <f t="array" ref="S124">GetLatitude(U124)</f>
        <v>33.778174999999997</v>
      </c>
      <c r="T124" cm="1">
        <f t="array" ref="T124">GetLongitude(U124)</f>
        <v>76.576171400000007</v>
      </c>
      <c r="U124" t="str">
        <f t="shared" si="3"/>
        <v>Old Hindu Temple Mandar, Kashmir, PK</v>
      </c>
      <c r="V124" t="str" cm="1">
        <f t="array" ref="V124">GetCoordinates(U124)</f>
        <v>33.7781750, 76.5761714</v>
      </c>
      <c r="W124" s="13" t="e" cm="1">
        <f t="array" ref="W124">TravelTime(A124,U124,AB124)</f>
        <v>#VALUE!</v>
      </c>
      <c r="X124" s="13" t="e">
        <f t="shared" si="4"/>
        <v>#VALUE!</v>
      </c>
      <c r="Y124" s="13" t="e" cm="1">
        <f t="array" ref="Y124">TravelDistance(A124,U124,AB124)</f>
        <v>#VALUE!</v>
      </c>
      <c r="Z124" s="13" t="e">
        <f t="shared" si="5"/>
        <v>#VALUE!</v>
      </c>
      <c r="AA124" s="14" t="s">
        <v>361</v>
      </c>
      <c r="AB124" t="s">
        <v>355</v>
      </c>
    </row>
    <row r="125" spans="1:28" ht="15" x14ac:dyDescent="0.25">
      <c r="A125" s="2" t="s">
        <v>18</v>
      </c>
      <c r="B125" s="2" t="s">
        <v>139</v>
      </c>
      <c r="D125" s="3" t="s">
        <v>28</v>
      </c>
      <c r="E125" s="4" t="s">
        <v>144</v>
      </c>
      <c r="F125" s="4" t="s">
        <v>171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 s="5">
        <v>1</v>
      </c>
      <c r="M125" s="5">
        <v>1</v>
      </c>
      <c r="N125" s="5">
        <v>1</v>
      </c>
      <c r="O125" s="5">
        <v>0</v>
      </c>
      <c r="P125" s="5">
        <v>0</v>
      </c>
      <c r="Q125" s="5">
        <v>0</v>
      </c>
      <c r="R125" s="5">
        <v>0</v>
      </c>
      <c r="S125" cm="1">
        <f t="array" ref="S125">GetLatitude(U125)</f>
        <v>33.778174999999997</v>
      </c>
      <c r="T125" cm="1">
        <f t="array" ref="T125">GetLongitude(U125)</f>
        <v>76.576171400000007</v>
      </c>
      <c r="U125" t="str">
        <f t="shared" si="3"/>
        <v>Old Hindu Temple Mandar, Kashmir, PK</v>
      </c>
      <c r="V125" t="str" cm="1">
        <f t="array" ref="V125">GetCoordinates(U125)</f>
        <v>33.7781750, 76.5761714</v>
      </c>
      <c r="W125" s="13" t="e" cm="1">
        <f t="array" ref="W125">TravelTime(A125,U125,AB125)</f>
        <v>#VALUE!</v>
      </c>
      <c r="X125" s="13" t="e">
        <f t="shared" si="4"/>
        <v>#VALUE!</v>
      </c>
      <c r="Y125" s="13" t="e" cm="1">
        <f t="array" ref="Y125">TravelDistance(A125,U125,AB125)</f>
        <v>#VALUE!</v>
      </c>
      <c r="Z125" s="13" t="e">
        <f t="shared" si="5"/>
        <v>#VALUE!</v>
      </c>
      <c r="AA125" s="14" t="s">
        <v>361</v>
      </c>
      <c r="AB125" t="s">
        <v>355</v>
      </c>
    </row>
    <row r="126" spans="1:28" ht="15" x14ac:dyDescent="0.25">
      <c r="A126" s="2" t="s">
        <v>18</v>
      </c>
      <c r="B126" s="2" t="s">
        <v>139</v>
      </c>
      <c r="D126" s="3" t="s">
        <v>28</v>
      </c>
      <c r="E126" s="4" t="s">
        <v>106</v>
      </c>
      <c r="F126" s="4" t="s">
        <v>171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 s="5">
        <v>1</v>
      </c>
      <c r="M126" s="5">
        <v>1</v>
      </c>
      <c r="N126" s="5">
        <v>1</v>
      </c>
      <c r="O126" s="5">
        <v>0</v>
      </c>
      <c r="P126" s="5">
        <v>0</v>
      </c>
      <c r="Q126" s="5">
        <v>0</v>
      </c>
      <c r="R126" s="5">
        <v>0</v>
      </c>
      <c r="S126" cm="1">
        <f t="array" ref="S126">GetLatitude(U126)</f>
        <v>33.778174999999997</v>
      </c>
      <c r="T126" cm="1">
        <f t="array" ref="T126">GetLongitude(U126)</f>
        <v>76.576171400000007</v>
      </c>
      <c r="U126" t="str">
        <f t="shared" si="3"/>
        <v>Old Hindu Temple Mandar, Kashmir, PK</v>
      </c>
      <c r="V126" t="str" cm="1">
        <f t="array" ref="V126">GetCoordinates(U126)</f>
        <v>33.7781750, 76.5761714</v>
      </c>
      <c r="W126" s="13" t="e" cm="1">
        <f t="array" ref="W126">TravelTime(A126,U126,AB126)</f>
        <v>#VALUE!</v>
      </c>
      <c r="X126" s="13" t="e">
        <f t="shared" si="4"/>
        <v>#VALUE!</v>
      </c>
      <c r="Y126" s="13" t="e" cm="1">
        <f t="array" ref="Y126">TravelDistance(A126,U126,AB126)</f>
        <v>#VALUE!</v>
      </c>
      <c r="Z126" s="13" t="e">
        <f t="shared" si="5"/>
        <v>#VALUE!</v>
      </c>
      <c r="AA126" s="14" t="s">
        <v>361</v>
      </c>
      <c r="AB126" t="s">
        <v>355</v>
      </c>
    </row>
    <row r="127" spans="1:28" ht="15" x14ac:dyDescent="0.25">
      <c r="A127" s="2" t="s">
        <v>18</v>
      </c>
      <c r="B127" s="2" t="s">
        <v>139</v>
      </c>
      <c r="D127" s="3" t="s">
        <v>28</v>
      </c>
      <c r="E127" s="4" t="s">
        <v>29</v>
      </c>
      <c r="F127" s="4" t="s">
        <v>171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 s="5">
        <v>1</v>
      </c>
      <c r="M127" s="5">
        <v>1</v>
      </c>
      <c r="N127" s="5">
        <v>1</v>
      </c>
      <c r="O127" s="5">
        <v>0</v>
      </c>
      <c r="P127" s="5">
        <v>0</v>
      </c>
      <c r="Q127" s="5">
        <v>0</v>
      </c>
      <c r="R127" s="5">
        <v>0</v>
      </c>
      <c r="S127" cm="1">
        <f t="array" ref="S127">GetLatitude(U127)</f>
        <v>33.778174999999997</v>
      </c>
      <c r="T127" cm="1">
        <f t="array" ref="T127">GetLongitude(U127)</f>
        <v>76.576171400000007</v>
      </c>
      <c r="U127" t="str">
        <f t="shared" si="3"/>
        <v>Old Hindu Temple Mandar, Kashmir, PK</v>
      </c>
      <c r="V127" t="str" cm="1">
        <f t="array" ref="V127">GetCoordinates(U127)</f>
        <v>33.7781750, 76.5761714</v>
      </c>
      <c r="W127" s="13" t="e" cm="1">
        <f t="array" ref="W127">TravelTime(A127,U127,AB127)</f>
        <v>#VALUE!</v>
      </c>
      <c r="X127" s="13" t="e">
        <f t="shared" si="4"/>
        <v>#VALUE!</v>
      </c>
      <c r="Y127" s="13" t="e" cm="1">
        <f t="array" ref="Y127">TravelDistance(A127,U127,AB127)</f>
        <v>#VALUE!</v>
      </c>
      <c r="Z127" s="13" t="e">
        <f t="shared" si="5"/>
        <v>#VALUE!</v>
      </c>
      <c r="AA127" s="14" t="s">
        <v>361</v>
      </c>
      <c r="AB127" t="s">
        <v>355</v>
      </c>
    </row>
    <row r="128" spans="1:28" ht="15" x14ac:dyDescent="0.25">
      <c r="A128" s="2" t="s">
        <v>18</v>
      </c>
      <c r="B128" s="2" t="s">
        <v>139</v>
      </c>
      <c r="D128" s="3" t="s">
        <v>31</v>
      </c>
      <c r="E128" s="4" t="s">
        <v>21</v>
      </c>
      <c r="F128" s="4" t="s">
        <v>172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 s="5">
        <v>1</v>
      </c>
      <c r="M128" s="5">
        <v>1</v>
      </c>
      <c r="N128" s="5">
        <v>1</v>
      </c>
      <c r="O128" s="5">
        <v>0</v>
      </c>
      <c r="P128" s="5">
        <v>0</v>
      </c>
      <c r="Q128" s="5">
        <v>0</v>
      </c>
      <c r="R128" s="5">
        <v>0</v>
      </c>
      <c r="S128" cm="1">
        <f t="array" ref="S128">GetLatitude(U128)</f>
        <v>34.387777800000002</v>
      </c>
      <c r="T128" cm="1">
        <f t="array" ref="T128">GetLongitude(U128)</f>
        <v>73.547777800000006</v>
      </c>
      <c r="U128" t="str">
        <f t="shared" si="3"/>
        <v>Peer Chanasi, Kashmir, PK</v>
      </c>
      <c r="V128" t="str" cm="1">
        <f t="array" ref="V128">GetCoordinates(U128)</f>
        <v>34.3877778, 73.5477778</v>
      </c>
      <c r="W128" s="13" cm="1">
        <f t="array" ref="W128">TravelTime(A128,U128,AB128)</f>
        <v>15078</v>
      </c>
      <c r="X128" s="13">
        <f t="shared" si="4"/>
        <v>251.3</v>
      </c>
      <c r="Y128" s="13" cm="1">
        <f t="array" ref="Y128">TravelDistance(A128,U128,AB128)</f>
        <v>159938</v>
      </c>
      <c r="Z128" s="13" t="str">
        <f t="shared" si="5"/>
        <v>159.94km</v>
      </c>
      <c r="AA128" s="14" t="s">
        <v>361</v>
      </c>
      <c r="AB128" t="s">
        <v>355</v>
      </c>
    </row>
    <row r="129" spans="1:28" ht="15" x14ac:dyDescent="0.25">
      <c r="A129" s="2" t="s">
        <v>18</v>
      </c>
      <c r="B129" s="2" t="s">
        <v>139</v>
      </c>
      <c r="D129" s="3" t="s">
        <v>31</v>
      </c>
      <c r="E129" s="4" t="s">
        <v>149</v>
      </c>
      <c r="F129" s="4" t="s">
        <v>172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 s="5">
        <v>1</v>
      </c>
      <c r="M129" s="5">
        <v>1</v>
      </c>
      <c r="N129" s="5">
        <v>1</v>
      </c>
      <c r="O129" s="5">
        <v>0</v>
      </c>
      <c r="P129" s="5">
        <v>0</v>
      </c>
      <c r="Q129" s="5">
        <v>0</v>
      </c>
      <c r="R129" s="5">
        <v>0</v>
      </c>
      <c r="S129" cm="1">
        <f t="array" ref="S129">GetLatitude(U129)</f>
        <v>34.387777800000002</v>
      </c>
      <c r="T129" cm="1">
        <f t="array" ref="T129">GetLongitude(U129)</f>
        <v>73.547777800000006</v>
      </c>
      <c r="U129" t="str">
        <f t="shared" si="3"/>
        <v>Peer Chanasi, Kashmir, PK</v>
      </c>
      <c r="V129" t="str" cm="1">
        <f t="array" ref="V129">GetCoordinates(U129)</f>
        <v>34.3877778, 73.5477778</v>
      </c>
      <c r="W129" s="13" cm="1">
        <f t="array" ref="W129">TravelTime(A129,U129,AB129)</f>
        <v>15078</v>
      </c>
      <c r="X129" s="13">
        <f t="shared" si="4"/>
        <v>251.3</v>
      </c>
      <c r="Y129" s="13" cm="1">
        <f t="array" ref="Y129">TravelDistance(A129,U129,AB129)</f>
        <v>159938</v>
      </c>
      <c r="Z129" s="13" t="str">
        <f t="shared" si="5"/>
        <v>159.94km</v>
      </c>
      <c r="AA129" s="14" t="s">
        <v>361</v>
      </c>
      <c r="AB129" t="s">
        <v>355</v>
      </c>
    </row>
    <row r="130" spans="1:28" ht="15" x14ac:dyDescent="0.25">
      <c r="A130" s="2" t="s">
        <v>18</v>
      </c>
      <c r="B130" s="2" t="s">
        <v>139</v>
      </c>
      <c r="D130" s="3" t="s">
        <v>31</v>
      </c>
      <c r="E130" s="4" t="s">
        <v>149</v>
      </c>
      <c r="F130" s="4" t="s">
        <v>173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 s="5">
        <v>1</v>
      </c>
      <c r="M130" s="5">
        <v>1</v>
      </c>
      <c r="N130" s="5">
        <v>1</v>
      </c>
      <c r="O130" s="5">
        <v>0</v>
      </c>
      <c r="P130" s="5">
        <v>0</v>
      </c>
      <c r="Q130" s="5">
        <v>0</v>
      </c>
      <c r="R130" s="5">
        <v>0</v>
      </c>
      <c r="S130" cm="1">
        <f t="array" ref="S130">GetLatitude(U130)</f>
        <v>34.387907800000001</v>
      </c>
      <c r="T130" cm="1">
        <f t="array" ref="T130">GetLongitude(U130)</f>
        <v>73.552126099999995</v>
      </c>
      <c r="U130" t="str">
        <f t="shared" si="3"/>
        <v>Pir Chinasi, Kashmir, PK</v>
      </c>
      <c r="V130" t="str" cm="1">
        <f t="array" ref="V130">GetCoordinates(U130)</f>
        <v>34.3879078, 73.5521261</v>
      </c>
      <c r="W130" s="13" cm="1">
        <f t="array" ref="W130">TravelTime(A130,U130,AB130)</f>
        <v>15197</v>
      </c>
      <c r="X130" s="13">
        <f t="shared" si="4"/>
        <v>253.28333333333333</v>
      </c>
      <c r="Y130" s="13" cm="1">
        <f t="array" ref="Y130">TravelDistance(A130,U130,AB130)</f>
        <v>160664</v>
      </c>
      <c r="Z130" s="13" t="str">
        <f t="shared" si="5"/>
        <v>160.66km</v>
      </c>
      <c r="AA130" s="14" t="s">
        <v>361</v>
      </c>
      <c r="AB130" t="s">
        <v>355</v>
      </c>
    </row>
    <row r="131" spans="1:28" ht="15" x14ac:dyDescent="0.25">
      <c r="A131" s="2" t="s">
        <v>18</v>
      </c>
      <c r="B131" s="2" t="s">
        <v>139</v>
      </c>
      <c r="D131" s="3" t="s">
        <v>31</v>
      </c>
      <c r="E131" s="4" t="s">
        <v>21</v>
      </c>
      <c r="F131" s="4" t="s">
        <v>173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 s="5">
        <v>1</v>
      </c>
      <c r="M131" s="5">
        <v>1</v>
      </c>
      <c r="N131" s="5">
        <v>1</v>
      </c>
      <c r="O131" s="5">
        <v>0</v>
      </c>
      <c r="P131" s="5">
        <v>0</v>
      </c>
      <c r="Q131" s="5">
        <v>0</v>
      </c>
      <c r="R131" s="5">
        <v>0</v>
      </c>
      <c r="S131" cm="1">
        <f t="array" ref="S131">GetLatitude(U131)</f>
        <v>34.387907800000001</v>
      </c>
      <c r="T131" cm="1">
        <f t="array" ref="T131">GetLongitude(U131)</f>
        <v>73.552126099999995</v>
      </c>
      <c r="U131" t="str">
        <f t="shared" ref="U131:U194" si="6">F131&amp;", "&amp;B131&amp;", "&amp;AA131</f>
        <v>Pir Chinasi, Kashmir, PK</v>
      </c>
      <c r="V131" t="str" cm="1">
        <f t="array" ref="V131">GetCoordinates(U131)</f>
        <v>34.3879078, 73.5521261</v>
      </c>
      <c r="W131" s="13" cm="1">
        <f t="array" ref="W131">TravelTime(A131,U131,AB131)</f>
        <v>15197</v>
      </c>
      <c r="X131" s="13">
        <f t="shared" ref="X131:X194" si="7">W131/60</f>
        <v>253.28333333333333</v>
      </c>
      <c r="Y131" s="13" cm="1">
        <f t="array" ref="Y131">TravelDistance(A131,U131,AB131)</f>
        <v>160664</v>
      </c>
      <c r="Z131" s="13" t="str">
        <f t="shared" ref="Z131:Z194" si="8">ROUND(Y131/1000,2)&amp;"km"</f>
        <v>160.66km</v>
      </c>
      <c r="AA131" s="14" t="s">
        <v>361</v>
      </c>
      <c r="AB131" t="s">
        <v>355</v>
      </c>
    </row>
    <row r="132" spans="1:28" ht="15" x14ac:dyDescent="0.25">
      <c r="A132" s="2" t="s">
        <v>18</v>
      </c>
      <c r="B132" s="2" t="s">
        <v>139</v>
      </c>
      <c r="D132" s="3" t="s">
        <v>28</v>
      </c>
      <c r="E132" s="4" t="s">
        <v>174</v>
      </c>
      <c r="F132" s="4" t="s">
        <v>175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 s="5">
        <v>1</v>
      </c>
      <c r="M132" s="5">
        <v>1</v>
      </c>
      <c r="N132" s="5">
        <v>1</v>
      </c>
      <c r="O132" s="5">
        <v>0</v>
      </c>
      <c r="P132" s="5">
        <v>0</v>
      </c>
      <c r="Q132" s="5">
        <v>0</v>
      </c>
      <c r="R132" s="5">
        <v>0</v>
      </c>
      <c r="S132" cm="1">
        <f t="array" ref="S132">GetLatitude(U132)</f>
        <v>33.143560000000001</v>
      </c>
      <c r="T132" cm="1">
        <f t="array" ref="T132">GetLongitude(U132)</f>
        <v>73.746700000000004</v>
      </c>
      <c r="U132" t="str">
        <f t="shared" si="6"/>
        <v>Quaid E Azam Stadium, Kashmir, PK</v>
      </c>
      <c r="V132" t="str" cm="1">
        <f t="array" ref="V132">GetCoordinates(U132)</f>
        <v>33.1435600, 73.7467000</v>
      </c>
      <c r="W132" s="13" cm="1">
        <f t="array" ref="W132">TravelTime(A132,U132,AB132)</f>
        <v>9618</v>
      </c>
      <c r="X132" s="13">
        <f t="shared" si="7"/>
        <v>160.30000000000001</v>
      </c>
      <c r="Y132" s="13" cm="1">
        <f t="array" ref="Y132">TravelDistance(A132,U132,AB132)</f>
        <v>133293</v>
      </c>
      <c r="Z132" s="13" t="str">
        <f t="shared" si="8"/>
        <v>133.29km</v>
      </c>
      <c r="AA132" s="14" t="s">
        <v>361</v>
      </c>
      <c r="AB132" t="s">
        <v>355</v>
      </c>
    </row>
    <row r="133" spans="1:28" ht="15" x14ac:dyDescent="0.25">
      <c r="A133" s="2" t="s">
        <v>18</v>
      </c>
      <c r="B133" s="2" t="s">
        <v>139</v>
      </c>
      <c r="D133" s="3" t="s">
        <v>28</v>
      </c>
      <c r="E133" s="4" t="s">
        <v>29</v>
      </c>
      <c r="F133" s="4" t="s">
        <v>175</v>
      </c>
      <c r="G133" s="5">
        <v>1</v>
      </c>
      <c r="H133" s="5">
        <v>1</v>
      </c>
      <c r="I133" s="5">
        <v>1</v>
      </c>
      <c r="J133" s="5">
        <v>1</v>
      </c>
      <c r="K133" s="5">
        <v>1</v>
      </c>
      <c r="L133" s="5">
        <v>1</v>
      </c>
      <c r="M133" s="5">
        <v>1</v>
      </c>
      <c r="N133" s="5">
        <v>1</v>
      </c>
      <c r="O133" s="5">
        <v>0</v>
      </c>
      <c r="P133" s="5">
        <v>0</v>
      </c>
      <c r="Q133" s="5">
        <v>0</v>
      </c>
      <c r="R133" s="5">
        <v>0</v>
      </c>
      <c r="S133" cm="1">
        <f t="array" ref="S133">GetLatitude(U133)</f>
        <v>33.143560000000001</v>
      </c>
      <c r="T133" cm="1">
        <f t="array" ref="T133">GetLongitude(U133)</f>
        <v>73.746700000000004</v>
      </c>
      <c r="U133" t="str">
        <f t="shared" si="6"/>
        <v>Quaid E Azam Stadium, Kashmir, PK</v>
      </c>
      <c r="V133" t="str" cm="1">
        <f t="array" ref="V133">GetCoordinates(U133)</f>
        <v>33.1435600, 73.7467000</v>
      </c>
      <c r="W133" s="13" cm="1">
        <f t="array" ref="W133">TravelTime(A133,U133,AB133)</f>
        <v>9618</v>
      </c>
      <c r="X133" s="13">
        <f t="shared" si="7"/>
        <v>160.30000000000001</v>
      </c>
      <c r="Y133" s="13" cm="1">
        <f t="array" ref="Y133">TravelDistance(A133,U133,AB133)</f>
        <v>133293</v>
      </c>
      <c r="Z133" s="13" t="str">
        <f t="shared" si="8"/>
        <v>133.29km</v>
      </c>
      <c r="AA133" s="14" t="s">
        <v>361</v>
      </c>
      <c r="AB133" t="s">
        <v>355</v>
      </c>
    </row>
    <row r="134" spans="1:28" ht="15" x14ac:dyDescent="0.25">
      <c r="A134" s="2" t="s">
        <v>18</v>
      </c>
      <c r="B134" s="2" t="s">
        <v>139</v>
      </c>
      <c r="D134" s="3" t="s">
        <v>92</v>
      </c>
      <c r="E134" s="4" t="s">
        <v>106</v>
      </c>
      <c r="F134" s="4" t="s">
        <v>176</v>
      </c>
      <c r="G134" s="5">
        <v>1</v>
      </c>
      <c r="H134" s="5">
        <v>1</v>
      </c>
      <c r="I134" s="5">
        <v>1</v>
      </c>
      <c r="J134" s="5">
        <v>1</v>
      </c>
      <c r="K134" s="5">
        <v>1</v>
      </c>
      <c r="L134" s="5">
        <v>1</v>
      </c>
      <c r="M134" s="5">
        <v>1</v>
      </c>
      <c r="N134" s="5">
        <v>1</v>
      </c>
      <c r="O134" s="5">
        <v>0</v>
      </c>
      <c r="P134" s="5">
        <v>0</v>
      </c>
      <c r="Q134" s="5">
        <v>0</v>
      </c>
      <c r="R134" s="5">
        <v>0</v>
      </c>
      <c r="S134" cm="1">
        <f t="array" ref="S134">GetLatitude(U134)</f>
        <v>33.778174999999997</v>
      </c>
      <c r="T134" cm="1">
        <f t="array" ref="T134">GetLongitude(U134)</f>
        <v>76.576171400000007</v>
      </c>
      <c r="U134" t="str">
        <f t="shared" si="6"/>
        <v>Quaid-e-Azam Tourist Lodge, Kashmir, PK</v>
      </c>
      <c r="V134" t="str" cm="1">
        <f t="array" ref="V134">GetCoordinates(U134)</f>
        <v>33.7781750, 76.5761714</v>
      </c>
      <c r="W134" s="13" t="e" cm="1">
        <f t="array" ref="W134">TravelTime(A134,U134,AB134)</f>
        <v>#VALUE!</v>
      </c>
      <c r="X134" s="13" t="e">
        <f t="shared" si="7"/>
        <v>#VALUE!</v>
      </c>
      <c r="Y134" s="13" t="e" cm="1">
        <f t="array" ref="Y134">TravelDistance(A134,U134,AB134)</f>
        <v>#VALUE!</v>
      </c>
      <c r="Z134" s="13" t="e">
        <f t="shared" si="8"/>
        <v>#VALUE!</v>
      </c>
      <c r="AA134" s="14" t="s">
        <v>361</v>
      </c>
      <c r="AB134" t="s">
        <v>355</v>
      </c>
    </row>
    <row r="135" spans="1:28" ht="15" x14ac:dyDescent="0.25">
      <c r="A135" s="2" t="s">
        <v>18</v>
      </c>
      <c r="B135" s="2" t="s">
        <v>139</v>
      </c>
      <c r="D135" s="3" t="s">
        <v>92</v>
      </c>
      <c r="E135" s="4" t="s">
        <v>29</v>
      </c>
      <c r="F135" s="4" t="s">
        <v>176</v>
      </c>
      <c r="G135" s="5">
        <v>1</v>
      </c>
      <c r="H135" s="5">
        <v>1</v>
      </c>
      <c r="I135" s="5">
        <v>1</v>
      </c>
      <c r="J135" s="5">
        <v>1</v>
      </c>
      <c r="K135" s="5">
        <v>1</v>
      </c>
      <c r="L135" s="5">
        <v>1</v>
      </c>
      <c r="M135" s="5">
        <v>1</v>
      </c>
      <c r="N135" s="5">
        <v>1</v>
      </c>
      <c r="O135" s="5">
        <v>0</v>
      </c>
      <c r="P135" s="5">
        <v>0</v>
      </c>
      <c r="Q135" s="5">
        <v>0</v>
      </c>
      <c r="R135" s="5">
        <v>0</v>
      </c>
      <c r="S135" cm="1">
        <f t="array" ref="S135">GetLatitude(U135)</f>
        <v>33.778174999999997</v>
      </c>
      <c r="T135" cm="1">
        <f t="array" ref="T135">GetLongitude(U135)</f>
        <v>76.576171400000007</v>
      </c>
      <c r="U135" t="str">
        <f t="shared" si="6"/>
        <v>Quaid-e-Azam Tourist Lodge, Kashmir, PK</v>
      </c>
      <c r="V135" t="str" cm="1">
        <f t="array" ref="V135">GetCoordinates(U135)</f>
        <v>33.7781750, 76.5761714</v>
      </c>
      <c r="W135" s="13" t="e" cm="1">
        <f t="array" ref="W135">TravelTime(A135,U135,AB135)</f>
        <v>#VALUE!</v>
      </c>
      <c r="X135" s="13" t="e">
        <f t="shared" si="7"/>
        <v>#VALUE!</v>
      </c>
      <c r="Y135" s="13" t="e" cm="1">
        <f t="array" ref="Y135">TravelDistance(A135,U135,AB135)</f>
        <v>#VALUE!</v>
      </c>
      <c r="Z135" s="13" t="e">
        <f t="shared" si="8"/>
        <v>#VALUE!</v>
      </c>
      <c r="AA135" s="14" t="s">
        <v>361</v>
      </c>
      <c r="AB135" t="s">
        <v>355</v>
      </c>
    </row>
    <row r="136" spans="1:28" ht="15" x14ac:dyDescent="0.25">
      <c r="A136" s="2" t="s">
        <v>18</v>
      </c>
      <c r="B136" s="2" t="s">
        <v>139</v>
      </c>
      <c r="D136" s="3" t="s">
        <v>117</v>
      </c>
      <c r="E136" s="4" t="s">
        <v>29</v>
      </c>
      <c r="F136" s="4" t="s">
        <v>177</v>
      </c>
      <c r="G136" s="5">
        <v>1</v>
      </c>
      <c r="H136" s="5">
        <v>1</v>
      </c>
      <c r="I136" s="5">
        <v>1</v>
      </c>
      <c r="J136" s="5">
        <v>1</v>
      </c>
      <c r="K136" s="5">
        <v>1</v>
      </c>
      <c r="L136" s="5">
        <v>1</v>
      </c>
      <c r="M136" s="5">
        <v>1</v>
      </c>
      <c r="N136" s="5">
        <v>1</v>
      </c>
      <c r="O136" s="5">
        <v>0</v>
      </c>
      <c r="P136" s="5">
        <v>0</v>
      </c>
      <c r="Q136" s="5">
        <v>0</v>
      </c>
      <c r="R136" s="5">
        <v>0</v>
      </c>
      <c r="S136" cm="1">
        <f t="array" ref="S136">GetLatitude(U136)</f>
        <v>33.2234865</v>
      </c>
      <c r="T136" cm="1">
        <f t="array" ref="T136">GetLongitude(U136)</f>
        <v>73.6417553</v>
      </c>
      <c r="U136" t="str">
        <f t="shared" si="6"/>
        <v>Ramkot Fort, Kashmir, PK</v>
      </c>
      <c r="V136" t="str" cm="1">
        <f t="array" ref="V136">GetCoordinates(U136)</f>
        <v>33.2234865, 73.6417553</v>
      </c>
      <c r="W136" s="13" cm="1">
        <f t="array" ref="W136">TravelTime(A136,U136,AB136)</f>
        <v>10763</v>
      </c>
      <c r="X136" s="13">
        <f t="shared" si="7"/>
        <v>179.38333333333333</v>
      </c>
      <c r="Y136" s="13" cm="1">
        <f t="array" ref="Y136">TravelDistance(A136,U136,AB136)</f>
        <v>113891</v>
      </c>
      <c r="Z136" s="13" t="str">
        <f t="shared" si="8"/>
        <v>113.89km</v>
      </c>
      <c r="AA136" s="14" t="s">
        <v>361</v>
      </c>
      <c r="AB136" t="s">
        <v>355</v>
      </c>
    </row>
    <row r="137" spans="1:28" ht="15" x14ac:dyDescent="0.25">
      <c r="A137" s="2" t="s">
        <v>18</v>
      </c>
      <c r="B137" s="2" t="s">
        <v>139</v>
      </c>
      <c r="D137" s="3" t="s">
        <v>117</v>
      </c>
      <c r="E137" s="4" t="s">
        <v>120</v>
      </c>
      <c r="F137" s="4" t="s">
        <v>177</v>
      </c>
      <c r="G137" s="5">
        <v>1</v>
      </c>
      <c r="H137" s="5">
        <v>1</v>
      </c>
      <c r="I137" s="5">
        <v>1</v>
      </c>
      <c r="J137" s="5">
        <v>1</v>
      </c>
      <c r="K137" s="5">
        <v>1</v>
      </c>
      <c r="L137" s="5">
        <v>1</v>
      </c>
      <c r="M137" s="5">
        <v>1</v>
      </c>
      <c r="N137" s="5">
        <v>1</v>
      </c>
      <c r="O137" s="5">
        <v>0</v>
      </c>
      <c r="P137" s="5">
        <v>0</v>
      </c>
      <c r="Q137" s="5">
        <v>0</v>
      </c>
      <c r="R137" s="5">
        <v>0</v>
      </c>
      <c r="S137" cm="1">
        <f t="array" ref="S137">GetLatitude(U137)</f>
        <v>33.2234865</v>
      </c>
      <c r="T137" cm="1">
        <f t="array" ref="T137">GetLongitude(U137)</f>
        <v>73.6417553</v>
      </c>
      <c r="U137" t="str">
        <f t="shared" si="6"/>
        <v>Ramkot Fort, Kashmir, PK</v>
      </c>
      <c r="V137" t="str" cm="1">
        <f t="array" ref="V137">GetCoordinates(U137)</f>
        <v>33.2234865, 73.6417553</v>
      </c>
      <c r="W137" s="13" cm="1">
        <f t="array" ref="W137">TravelTime(A137,U137,AB137)</f>
        <v>10763</v>
      </c>
      <c r="X137" s="13">
        <f t="shared" si="7"/>
        <v>179.38333333333333</v>
      </c>
      <c r="Y137" s="13" cm="1">
        <f t="array" ref="Y137">TravelDistance(A137,U137,AB137)</f>
        <v>113891</v>
      </c>
      <c r="Z137" s="13" t="str">
        <f t="shared" si="8"/>
        <v>113.89km</v>
      </c>
      <c r="AA137" s="14" t="s">
        <v>361</v>
      </c>
      <c r="AB137" t="s">
        <v>355</v>
      </c>
    </row>
    <row r="138" spans="1:28" ht="15" x14ac:dyDescent="0.25">
      <c r="A138" s="2" t="s">
        <v>18</v>
      </c>
      <c r="B138" s="2" t="s">
        <v>139</v>
      </c>
      <c r="D138" s="3" t="s">
        <v>117</v>
      </c>
      <c r="E138" s="4" t="s">
        <v>178</v>
      </c>
      <c r="F138" s="4" t="s">
        <v>177</v>
      </c>
      <c r="G138" s="5">
        <v>1</v>
      </c>
      <c r="H138" s="5">
        <v>1</v>
      </c>
      <c r="I138" s="5">
        <v>1</v>
      </c>
      <c r="J138" s="5">
        <v>1</v>
      </c>
      <c r="K138" s="5">
        <v>1</v>
      </c>
      <c r="L138" s="5">
        <v>1</v>
      </c>
      <c r="M138" s="5">
        <v>1</v>
      </c>
      <c r="N138" s="5">
        <v>1</v>
      </c>
      <c r="O138" s="5">
        <v>0</v>
      </c>
      <c r="P138" s="5">
        <v>0</v>
      </c>
      <c r="Q138" s="5">
        <v>0</v>
      </c>
      <c r="R138" s="5">
        <v>0</v>
      </c>
      <c r="S138" cm="1">
        <f t="array" ref="S138">GetLatitude(U138)</f>
        <v>33.2234865</v>
      </c>
      <c r="T138" cm="1">
        <f t="array" ref="T138">GetLongitude(U138)</f>
        <v>73.6417553</v>
      </c>
      <c r="U138" t="str">
        <f t="shared" si="6"/>
        <v>Ramkot Fort, Kashmir, PK</v>
      </c>
      <c r="V138" t="str" cm="1">
        <f t="array" ref="V138">GetCoordinates(U138)</f>
        <v>33.2234865, 73.6417553</v>
      </c>
      <c r="W138" s="13" cm="1">
        <f t="array" ref="W138">TravelTime(A138,U138,AB138)</f>
        <v>10763</v>
      </c>
      <c r="X138" s="13">
        <f t="shared" si="7"/>
        <v>179.38333333333333</v>
      </c>
      <c r="Y138" s="13" cm="1">
        <f t="array" ref="Y138">TravelDistance(A138,U138,AB138)</f>
        <v>113891</v>
      </c>
      <c r="Z138" s="13" t="str">
        <f t="shared" si="8"/>
        <v>113.89km</v>
      </c>
      <c r="AA138" s="14" t="s">
        <v>361</v>
      </c>
      <c r="AB138" t="s">
        <v>355</v>
      </c>
    </row>
    <row r="139" spans="1:28" ht="15" x14ac:dyDescent="0.25">
      <c r="A139" s="2" t="s">
        <v>18</v>
      </c>
      <c r="B139" s="2" t="s">
        <v>139</v>
      </c>
      <c r="D139" s="3" t="s">
        <v>20</v>
      </c>
      <c r="E139" s="4" t="s">
        <v>115</v>
      </c>
      <c r="F139" s="4" t="s">
        <v>179</v>
      </c>
      <c r="G139" s="5">
        <v>1</v>
      </c>
      <c r="H139" s="5">
        <v>1</v>
      </c>
      <c r="I139" s="5">
        <v>1</v>
      </c>
      <c r="J139" s="5">
        <v>1</v>
      </c>
      <c r="K139" s="5">
        <v>1</v>
      </c>
      <c r="L139" s="5">
        <v>1</v>
      </c>
      <c r="M139" s="5">
        <v>1</v>
      </c>
      <c r="N139" s="5">
        <v>1</v>
      </c>
      <c r="O139" s="5">
        <v>0</v>
      </c>
      <c r="P139" s="5">
        <v>0</v>
      </c>
      <c r="Q139" s="5">
        <v>0</v>
      </c>
      <c r="R139" s="5">
        <v>0</v>
      </c>
      <c r="S139" cm="1">
        <f t="array" ref="S139">GetLatitude(U139)</f>
        <v>34.829270100000002</v>
      </c>
      <c r="T139" cm="1">
        <f t="array" ref="T139">GetLongitude(U139)</f>
        <v>74.060855799999999</v>
      </c>
      <c r="U139" t="str">
        <f t="shared" si="6"/>
        <v>Ratti Gali Lake, Kashmir, PK</v>
      </c>
      <c r="V139" t="str" cm="1">
        <f t="array" ref="V139">GetCoordinates(U139)</f>
        <v>34.8292701, 74.0608558</v>
      </c>
      <c r="W139" s="13" t="e" cm="1">
        <f t="array" ref="W139">TravelTime(A139,U139,AB139)</f>
        <v>#VALUE!</v>
      </c>
      <c r="X139" s="13" t="e">
        <f t="shared" si="7"/>
        <v>#VALUE!</v>
      </c>
      <c r="Y139" s="13" t="e" cm="1">
        <f t="array" ref="Y139">TravelDistance(A139,U139,AB139)</f>
        <v>#VALUE!</v>
      </c>
      <c r="Z139" s="13" t="e">
        <f t="shared" si="8"/>
        <v>#VALUE!</v>
      </c>
      <c r="AA139" s="14" t="s">
        <v>361</v>
      </c>
      <c r="AB139" t="s">
        <v>355</v>
      </c>
    </row>
    <row r="140" spans="1:28" ht="15" x14ac:dyDescent="0.25">
      <c r="A140" s="2" t="s">
        <v>18</v>
      </c>
      <c r="B140" s="2" t="s">
        <v>139</v>
      </c>
      <c r="D140" s="3" t="s">
        <v>20</v>
      </c>
      <c r="E140" s="4" t="s">
        <v>21</v>
      </c>
      <c r="F140" s="4" t="s">
        <v>179</v>
      </c>
      <c r="G140" s="5">
        <v>1</v>
      </c>
      <c r="H140" s="5">
        <v>1</v>
      </c>
      <c r="I140" s="5">
        <v>1</v>
      </c>
      <c r="J140" s="5">
        <v>1</v>
      </c>
      <c r="K140" s="5">
        <v>1</v>
      </c>
      <c r="L140" s="5">
        <v>1</v>
      </c>
      <c r="M140" s="5">
        <v>1</v>
      </c>
      <c r="N140" s="5">
        <v>1</v>
      </c>
      <c r="O140" s="5">
        <v>0</v>
      </c>
      <c r="P140" s="5">
        <v>0</v>
      </c>
      <c r="Q140" s="5">
        <v>0</v>
      </c>
      <c r="R140" s="5">
        <v>0</v>
      </c>
      <c r="S140" cm="1">
        <f t="array" ref="S140">GetLatitude(U140)</f>
        <v>34.829270100000002</v>
      </c>
      <c r="T140" cm="1">
        <f t="array" ref="T140">GetLongitude(U140)</f>
        <v>74.060855799999999</v>
      </c>
      <c r="U140" t="str">
        <f t="shared" si="6"/>
        <v>Ratti Gali Lake, Kashmir, PK</v>
      </c>
      <c r="V140" t="str" cm="1">
        <f t="array" ref="V140">GetCoordinates(U140)</f>
        <v>34.8292701, 74.0608558</v>
      </c>
      <c r="W140" s="13" t="e" cm="1">
        <f t="array" ref="W140">TravelTime(A140,U140,AB140)</f>
        <v>#VALUE!</v>
      </c>
      <c r="X140" s="13" t="e">
        <f t="shared" si="7"/>
        <v>#VALUE!</v>
      </c>
      <c r="Y140" s="13" t="e" cm="1">
        <f t="array" ref="Y140">TravelDistance(A140,U140,AB140)</f>
        <v>#VALUE!</v>
      </c>
      <c r="Z140" s="13" t="e">
        <f t="shared" si="8"/>
        <v>#VALUE!</v>
      </c>
      <c r="AA140" s="14" t="s">
        <v>361</v>
      </c>
      <c r="AB140" t="s">
        <v>355</v>
      </c>
    </row>
    <row r="141" spans="1:28" ht="15" x14ac:dyDescent="0.25">
      <c r="A141" s="2" t="s">
        <v>18</v>
      </c>
      <c r="B141" s="2" t="s">
        <v>139</v>
      </c>
      <c r="D141" s="3" t="s">
        <v>117</v>
      </c>
      <c r="E141" s="4" t="s">
        <v>106</v>
      </c>
      <c r="F141" s="4" t="s">
        <v>180</v>
      </c>
      <c r="G141" s="5">
        <v>1</v>
      </c>
      <c r="H141" s="5">
        <v>1</v>
      </c>
      <c r="I141" s="5">
        <v>1</v>
      </c>
      <c r="J141" s="5">
        <v>1</v>
      </c>
      <c r="K141" s="5">
        <v>1</v>
      </c>
      <c r="L141" s="5">
        <v>1</v>
      </c>
      <c r="M141" s="5">
        <v>1</v>
      </c>
      <c r="N141" s="5">
        <v>1</v>
      </c>
      <c r="O141" s="5">
        <v>0</v>
      </c>
      <c r="P141" s="5">
        <v>0</v>
      </c>
      <c r="Q141" s="5">
        <v>0</v>
      </c>
      <c r="R141" s="5">
        <v>0</v>
      </c>
      <c r="S141" cm="1">
        <f t="array" ref="S141">GetLatitude(U141)</f>
        <v>34.382359800000003</v>
      </c>
      <c r="T141" cm="1">
        <f t="array" ref="T141">GetLongitude(U141)</f>
        <v>73.464886000000007</v>
      </c>
      <c r="U141" t="str">
        <f t="shared" si="6"/>
        <v>Red Fort, Kashmir, PK</v>
      </c>
      <c r="V141" t="str" cm="1">
        <f t="array" ref="V141">GetCoordinates(U141)</f>
        <v>34.3823598, 73.4648860</v>
      </c>
      <c r="W141" s="13" cm="1">
        <f t="array" ref="W141">TravelTime(A141,U141,AB141)</f>
        <v>12409</v>
      </c>
      <c r="X141" s="13">
        <f t="shared" si="7"/>
        <v>206.81666666666666</v>
      </c>
      <c r="Y141" s="13" cm="1">
        <f t="array" ref="Y141">TravelDistance(A141,U141,AB141)</f>
        <v>137504</v>
      </c>
      <c r="Z141" s="13" t="str">
        <f t="shared" si="8"/>
        <v>137.5km</v>
      </c>
      <c r="AA141" s="14" t="s">
        <v>361</v>
      </c>
      <c r="AB141" t="s">
        <v>355</v>
      </c>
    </row>
    <row r="142" spans="1:28" ht="15" x14ac:dyDescent="0.25">
      <c r="A142" s="2" t="s">
        <v>18</v>
      </c>
      <c r="B142" s="2" t="s">
        <v>139</v>
      </c>
      <c r="D142" s="3" t="s">
        <v>117</v>
      </c>
      <c r="E142" s="4" t="s">
        <v>120</v>
      </c>
      <c r="F142" s="4" t="s">
        <v>180</v>
      </c>
      <c r="G142" s="5">
        <v>1</v>
      </c>
      <c r="H142" s="5">
        <v>1</v>
      </c>
      <c r="I142" s="5">
        <v>1</v>
      </c>
      <c r="J142" s="5">
        <v>1</v>
      </c>
      <c r="K142" s="5">
        <v>1</v>
      </c>
      <c r="L142" s="5">
        <v>1</v>
      </c>
      <c r="M142" s="5">
        <v>1</v>
      </c>
      <c r="N142" s="5">
        <v>1</v>
      </c>
      <c r="O142" s="5">
        <v>0</v>
      </c>
      <c r="P142" s="5">
        <v>0</v>
      </c>
      <c r="Q142" s="5">
        <v>0</v>
      </c>
      <c r="R142" s="5">
        <v>0</v>
      </c>
      <c r="S142" cm="1">
        <f t="array" ref="S142">GetLatitude(U142)</f>
        <v>34.382359800000003</v>
      </c>
      <c r="T142" cm="1">
        <f t="array" ref="T142">GetLongitude(U142)</f>
        <v>73.464886000000007</v>
      </c>
      <c r="U142" t="str">
        <f t="shared" si="6"/>
        <v>Red Fort, Kashmir, PK</v>
      </c>
      <c r="V142" t="str" cm="1">
        <f t="array" ref="V142">GetCoordinates(U142)</f>
        <v>34.3823598, 73.4648860</v>
      </c>
      <c r="W142" s="13" cm="1">
        <f t="array" ref="W142">TravelTime(A142,U142,AB142)</f>
        <v>12409</v>
      </c>
      <c r="X142" s="13">
        <f t="shared" si="7"/>
        <v>206.81666666666666</v>
      </c>
      <c r="Y142" s="13" cm="1">
        <f t="array" ref="Y142">TravelDistance(A142,U142,AB142)</f>
        <v>137504</v>
      </c>
      <c r="Z142" s="13" t="str">
        <f t="shared" si="8"/>
        <v>137.5km</v>
      </c>
      <c r="AA142" s="14" t="s">
        <v>361</v>
      </c>
      <c r="AB142" t="s">
        <v>355</v>
      </c>
    </row>
    <row r="143" spans="1:28" ht="15" x14ac:dyDescent="0.25">
      <c r="A143" s="2" t="s">
        <v>18</v>
      </c>
      <c r="B143" s="2" t="s">
        <v>139</v>
      </c>
      <c r="D143" s="3" t="s">
        <v>117</v>
      </c>
      <c r="E143" s="4" t="s">
        <v>29</v>
      </c>
      <c r="F143" s="4" t="s">
        <v>180</v>
      </c>
      <c r="G143" s="5">
        <v>1</v>
      </c>
      <c r="H143" s="5">
        <v>1</v>
      </c>
      <c r="I143" s="5">
        <v>1</v>
      </c>
      <c r="J143" s="5">
        <v>1</v>
      </c>
      <c r="K143" s="5">
        <v>1</v>
      </c>
      <c r="L143" s="5">
        <v>1</v>
      </c>
      <c r="M143" s="5">
        <v>1</v>
      </c>
      <c r="N143" s="5">
        <v>1</v>
      </c>
      <c r="O143" s="5">
        <v>0</v>
      </c>
      <c r="P143" s="5">
        <v>0</v>
      </c>
      <c r="Q143" s="5">
        <v>0</v>
      </c>
      <c r="R143" s="5">
        <v>0</v>
      </c>
      <c r="S143" cm="1">
        <f t="array" ref="S143">GetLatitude(U143)</f>
        <v>34.382359800000003</v>
      </c>
      <c r="T143" cm="1">
        <f t="array" ref="T143">GetLongitude(U143)</f>
        <v>73.464886000000007</v>
      </c>
      <c r="U143" t="str">
        <f t="shared" si="6"/>
        <v>Red Fort, Kashmir, PK</v>
      </c>
      <c r="V143" t="str" cm="1">
        <f t="array" ref="V143">GetCoordinates(U143)</f>
        <v>34.3823598, 73.4648860</v>
      </c>
      <c r="W143" s="13" cm="1">
        <f t="array" ref="W143">TravelTime(A143,U143,AB143)</f>
        <v>12409</v>
      </c>
      <c r="X143" s="13">
        <f t="shared" si="7"/>
        <v>206.81666666666666</v>
      </c>
      <c r="Y143" s="13" cm="1">
        <f t="array" ref="Y143">TravelDistance(A143,U143,AB143)</f>
        <v>137504</v>
      </c>
      <c r="Z143" s="13" t="str">
        <f t="shared" si="8"/>
        <v>137.5km</v>
      </c>
      <c r="AA143" s="14" t="s">
        <v>361</v>
      </c>
      <c r="AB143" t="s">
        <v>355</v>
      </c>
    </row>
    <row r="144" spans="1:28" ht="15" x14ac:dyDescent="0.25">
      <c r="A144" s="2" t="s">
        <v>18</v>
      </c>
      <c r="B144" s="2" t="s">
        <v>139</v>
      </c>
      <c r="D144" s="3" t="s">
        <v>28</v>
      </c>
      <c r="E144" s="4" t="s">
        <v>120</v>
      </c>
      <c r="F144" s="4" t="s">
        <v>181</v>
      </c>
      <c r="G144" s="5">
        <v>1</v>
      </c>
      <c r="H144" s="5">
        <v>1</v>
      </c>
      <c r="I144" s="5">
        <v>1</v>
      </c>
      <c r="J144" s="5">
        <v>1</v>
      </c>
      <c r="K144" s="5">
        <v>1</v>
      </c>
      <c r="L144" s="5">
        <v>1</v>
      </c>
      <c r="M144" s="5">
        <v>1</v>
      </c>
      <c r="N144" s="5">
        <v>1</v>
      </c>
      <c r="O144" s="5">
        <v>0</v>
      </c>
      <c r="P144" s="5">
        <v>0</v>
      </c>
      <c r="Q144" s="5">
        <v>0</v>
      </c>
      <c r="R144" s="5">
        <v>0</v>
      </c>
      <c r="S144" cm="1">
        <f t="array" ref="S144">GetLatitude(U144)</f>
        <v>34.792176400000002</v>
      </c>
      <c r="T144" cm="1">
        <f t="array" ref="T144">GetLongitude(U144)</f>
        <v>74.190180999999995</v>
      </c>
      <c r="U144" t="str">
        <f t="shared" si="6"/>
        <v>Sharda Peeth, Kashmir, PK</v>
      </c>
      <c r="V144" t="str" cm="1">
        <f t="array" ref="V144">GetCoordinates(U144)</f>
        <v>34.7921764, 74.1901810</v>
      </c>
      <c r="W144" s="13" cm="1">
        <f t="array" ref="W144">TravelTime(A144,U144,AB144)</f>
        <v>31521</v>
      </c>
      <c r="X144" s="13">
        <f t="shared" si="7"/>
        <v>525.35</v>
      </c>
      <c r="Y144" s="13" cm="1">
        <f t="array" ref="Y144">TravelDistance(A144,U144,AB144)</f>
        <v>371258</v>
      </c>
      <c r="Z144" s="13" t="str">
        <f t="shared" si="8"/>
        <v>371.26km</v>
      </c>
      <c r="AA144" s="14" t="s">
        <v>361</v>
      </c>
      <c r="AB144" t="s">
        <v>355</v>
      </c>
    </row>
    <row r="145" spans="1:28" ht="15" x14ac:dyDescent="0.25">
      <c r="A145" s="2" t="s">
        <v>18</v>
      </c>
      <c r="B145" s="2" t="s">
        <v>139</v>
      </c>
      <c r="D145" s="3" t="s">
        <v>28</v>
      </c>
      <c r="E145" s="4" t="s">
        <v>144</v>
      </c>
      <c r="F145" s="4" t="s">
        <v>181</v>
      </c>
      <c r="G145" s="5">
        <v>1</v>
      </c>
      <c r="H145" s="5">
        <v>1</v>
      </c>
      <c r="I145" s="5">
        <v>1</v>
      </c>
      <c r="J145" s="5">
        <v>1</v>
      </c>
      <c r="K145" s="5">
        <v>1</v>
      </c>
      <c r="L145" s="5">
        <v>1</v>
      </c>
      <c r="M145" s="5">
        <v>1</v>
      </c>
      <c r="N145" s="5">
        <v>1</v>
      </c>
      <c r="O145" s="5">
        <v>0</v>
      </c>
      <c r="P145" s="5">
        <v>0</v>
      </c>
      <c r="Q145" s="5">
        <v>0</v>
      </c>
      <c r="R145" s="5">
        <v>0</v>
      </c>
      <c r="S145" cm="1">
        <f t="array" ref="S145">GetLatitude(U145)</f>
        <v>34.792176400000002</v>
      </c>
      <c r="T145" cm="1">
        <f t="array" ref="T145">GetLongitude(U145)</f>
        <v>74.190180999999995</v>
      </c>
      <c r="U145" t="str">
        <f t="shared" si="6"/>
        <v>Sharda Peeth, Kashmir, PK</v>
      </c>
      <c r="V145" t="str" cm="1">
        <f t="array" ref="V145">GetCoordinates(U145)</f>
        <v>34.7921764, 74.1901810</v>
      </c>
      <c r="W145" s="13" cm="1">
        <f t="array" ref="W145">TravelTime(A145,U145,AB145)</f>
        <v>31521</v>
      </c>
      <c r="X145" s="13">
        <f t="shared" si="7"/>
        <v>525.35</v>
      </c>
      <c r="Y145" s="13" cm="1">
        <f t="array" ref="Y145">TravelDistance(A145,U145,AB145)</f>
        <v>371258</v>
      </c>
      <c r="Z145" s="13" t="str">
        <f t="shared" si="8"/>
        <v>371.26km</v>
      </c>
      <c r="AA145" s="14" t="s">
        <v>361</v>
      </c>
      <c r="AB145" t="s">
        <v>355</v>
      </c>
    </row>
    <row r="146" spans="1:28" ht="15" x14ac:dyDescent="0.25">
      <c r="A146" s="2" t="s">
        <v>18</v>
      </c>
      <c r="B146" s="2" t="s">
        <v>139</v>
      </c>
      <c r="D146" s="3" t="s">
        <v>28</v>
      </c>
      <c r="E146" s="4" t="s">
        <v>182</v>
      </c>
      <c r="F146" s="4" t="s">
        <v>181</v>
      </c>
      <c r="G146" s="5">
        <v>1</v>
      </c>
      <c r="H146" s="5">
        <v>1</v>
      </c>
      <c r="I146" s="5">
        <v>1</v>
      </c>
      <c r="J146" s="5">
        <v>1</v>
      </c>
      <c r="K146" s="5">
        <v>1</v>
      </c>
      <c r="L146" s="5">
        <v>1</v>
      </c>
      <c r="M146" s="5">
        <v>1</v>
      </c>
      <c r="N146" s="5">
        <v>1</v>
      </c>
      <c r="O146" s="5">
        <v>0</v>
      </c>
      <c r="P146" s="5">
        <v>0</v>
      </c>
      <c r="Q146" s="5">
        <v>0</v>
      </c>
      <c r="R146" s="5">
        <v>0</v>
      </c>
      <c r="S146" cm="1">
        <f t="array" ref="S146">GetLatitude(U146)</f>
        <v>34.792176400000002</v>
      </c>
      <c r="T146" cm="1">
        <f t="array" ref="T146">GetLongitude(U146)</f>
        <v>74.190180999999995</v>
      </c>
      <c r="U146" t="str">
        <f t="shared" si="6"/>
        <v>Sharda Peeth, Kashmir, PK</v>
      </c>
      <c r="V146" t="str" cm="1">
        <f t="array" ref="V146">GetCoordinates(U146)</f>
        <v>34.7921764, 74.1901810</v>
      </c>
      <c r="W146" s="13" cm="1">
        <f t="array" ref="W146">TravelTime(A146,U146,AB146)</f>
        <v>31521</v>
      </c>
      <c r="X146" s="13">
        <f t="shared" si="7"/>
        <v>525.35</v>
      </c>
      <c r="Y146" s="13" cm="1">
        <f t="array" ref="Y146">TravelDistance(A146,U146,AB146)</f>
        <v>371258</v>
      </c>
      <c r="Z146" s="13" t="str">
        <f t="shared" si="8"/>
        <v>371.26km</v>
      </c>
      <c r="AA146" s="14" t="s">
        <v>361</v>
      </c>
      <c r="AB146" t="s">
        <v>355</v>
      </c>
    </row>
    <row r="147" spans="1:28" ht="15" x14ac:dyDescent="0.25">
      <c r="A147" s="2" t="s">
        <v>18</v>
      </c>
      <c r="B147" s="2" t="s">
        <v>139</v>
      </c>
      <c r="D147" s="3" t="s">
        <v>28</v>
      </c>
      <c r="E147" s="4" t="s">
        <v>29</v>
      </c>
      <c r="F147" s="4" t="s">
        <v>181</v>
      </c>
      <c r="G147" s="5">
        <v>1</v>
      </c>
      <c r="H147" s="5">
        <v>1</v>
      </c>
      <c r="I147" s="5">
        <v>1</v>
      </c>
      <c r="J147" s="5">
        <v>1</v>
      </c>
      <c r="K147" s="5">
        <v>1</v>
      </c>
      <c r="L147" s="5">
        <v>1</v>
      </c>
      <c r="M147" s="5">
        <v>1</v>
      </c>
      <c r="N147" s="5">
        <v>1</v>
      </c>
      <c r="O147" s="5">
        <v>0</v>
      </c>
      <c r="P147" s="5">
        <v>0</v>
      </c>
      <c r="Q147" s="5">
        <v>0</v>
      </c>
      <c r="R147" s="5">
        <v>0</v>
      </c>
      <c r="S147" cm="1">
        <f t="array" ref="S147">GetLatitude(U147)</f>
        <v>34.792176400000002</v>
      </c>
      <c r="T147" cm="1">
        <f t="array" ref="T147">GetLongitude(U147)</f>
        <v>74.190180999999995</v>
      </c>
      <c r="U147" t="str">
        <f t="shared" si="6"/>
        <v>Sharda Peeth, Kashmir, PK</v>
      </c>
      <c r="V147" t="str" cm="1">
        <f t="array" ref="V147">GetCoordinates(U147)</f>
        <v>34.7921764, 74.1901810</v>
      </c>
      <c r="W147" s="13" cm="1">
        <f t="array" ref="W147">TravelTime(A147,U147,AB147)</f>
        <v>31521</v>
      </c>
      <c r="X147" s="13">
        <f t="shared" si="7"/>
        <v>525.35</v>
      </c>
      <c r="Y147" s="13" cm="1">
        <f t="array" ref="Y147">TravelDistance(A147,U147,AB147)</f>
        <v>371258</v>
      </c>
      <c r="Z147" s="13" t="str">
        <f t="shared" si="8"/>
        <v>371.26km</v>
      </c>
      <c r="AA147" s="14" t="s">
        <v>361</v>
      </c>
      <c r="AB147" t="s">
        <v>355</v>
      </c>
    </row>
    <row r="148" spans="1:28" ht="15" x14ac:dyDescent="0.25">
      <c r="A148" s="2" t="s">
        <v>18</v>
      </c>
      <c r="B148" s="2" t="s">
        <v>139</v>
      </c>
      <c r="D148" s="3" t="s">
        <v>28</v>
      </c>
      <c r="E148" s="4" t="s">
        <v>106</v>
      </c>
      <c r="F148" s="4" t="s">
        <v>181</v>
      </c>
      <c r="G148" s="5">
        <v>1</v>
      </c>
      <c r="H148" s="5">
        <v>1</v>
      </c>
      <c r="I148" s="5">
        <v>1</v>
      </c>
      <c r="J148" s="5">
        <v>1</v>
      </c>
      <c r="K148" s="5">
        <v>1</v>
      </c>
      <c r="L148" s="5">
        <v>1</v>
      </c>
      <c r="M148" s="5">
        <v>1</v>
      </c>
      <c r="N148" s="5">
        <v>1</v>
      </c>
      <c r="O148" s="5">
        <v>0</v>
      </c>
      <c r="P148" s="5">
        <v>0</v>
      </c>
      <c r="Q148" s="5">
        <v>0</v>
      </c>
      <c r="R148" s="5">
        <v>0</v>
      </c>
      <c r="S148" cm="1">
        <f t="array" ref="S148">GetLatitude(U148)</f>
        <v>34.792176400000002</v>
      </c>
      <c r="T148" cm="1">
        <f t="array" ref="T148">GetLongitude(U148)</f>
        <v>74.190180999999995</v>
      </c>
      <c r="U148" t="str">
        <f t="shared" si="6"/>
        <v>Sharda Peeth, Kashmir, PK</v>
      </c>
      <c r="V148" t="str" cm="1">
        <f t="array" ref="V148">GetCoordinates(U148)</f>
        <v>34.7921764, 74.1901810</v>
      </c>
      <c r="W148" s="13" cm="1">
        <f t="array" ref="W148">TravelTime(A148,U148,AB148)</f>
        <v>31521</v>
      </c>
      <c r="X148" s="13">
        <f t="shared" si="7"/>
        <v>525.35</v>
      </c>
      <c r="Y148" s="13" cm="1">
        <f t="array" ref="Y148">TravelDistance(A148,U148,AB148)</f>
        <v>371258</v>
      </c>
      <c r="Z148" s="13" t="str">
        <f t="shared" si="8"/>
        <v>371.26km</v>
      </c>
      <c r="AA148" s="14" t="s">
        <v>361</v>
      </c>
      <c r="AB148" t="s">
        <v>355</v>
      </c>
    </row>
    <row r="149" spans="1:28" ht="15" x14ac:dyDescent="0.25">
      <c r="A149" s="2" t="s">
        <v>18</v>
      </c>
      <c r="B149" s="2" t="s">
        <v>139</v>
      </c>
      <c r="D149" s="3" t="s">
        <v>54</v>
      </c>
      <c r="E149" s="4" t="s">
        <v>21</v>
      </c>
      <c r="F149" s="4" t="s">
        <v>183</v>
      </c>
      <c r="G149" s="5">
        <v>1</v>
      </c>
      <c r="H149" s="5">
        <v>1</v>
      </c>
      <c r="I149" s="5">
        <v>1</v>
      </c>
      <c r="J149" s="5">
        <v>1</v>
      </c>
      <c r="K149" s="5">
        <v>1</v>
      </c>
      <c r="L149" s="5">
        <v>1</v>
      </c>
      <c r="M149" s="5">
        <v>1</v>
      </c>
      <c r="N149" s="5">
        <v>1</v>
      </c>
      <c r="O149" s="5">
        <v>0</v>
      </c>
      <c r="P149" s="5">
        <v>0</v>
      </c>
      <c r="Q149" s="5">
        <v>0</v>
      </c>
      <c r="R149" s="5">
        <v>0</v>
      </c>
      <c r="S149" cm="1">
        <f t="array" ref="S149">GetLatitude(U149)</f>
        <v>34.9735339</v>
      </c>
      <c r="T149" cm="1">
        <f t="array" ref="T149">GetLongitude(U149)</f>
        <v>74.513186399999995</v>
      </c>
      <c r="U149" t="str">
        <f t="shared" si="6"/>
        <v>Shounter Valley, Kashmir, PK</v>
      </c>
      <c r="V149" t="str" cm="1">
        <f t="array" ref="V149">GetCoordinates(U149)</f>
        <v>34.9735339, 74.5131864</v>
      </c>
      <c r="W149" s="13" t="e" cm="1">
        <f t="array" ref="W149">TravelTime(A149,U149,AB149)</f>
        <v>#VALUE!</v>
      </c>
      <c r="X149" s="13" t="e">
        <f t="shared" si="7"/>
        <v>#VALUE!</v>
      </c>
      <c r="Y149" s="13" cm="1">
        <f t="array" ref="Y149">TravelDistance(A149,U149,AB149)</f>
        <v>414954</v>
      </c>
      <c r="Z149" s="13" t="str">
        <f t="shared" si="8"/>
        <v>414.95km</v>
      </c>
      <c r="AA149" s="14" t="s">
        <v>361</v>
      </c>
      <c r="AB149" t="s">
        <v>355</v>
      </c>
    </row>
    <row r="150" spans="1:28" ht="15" x14ac:dyDescent="0.25">
      <c r="A150" s="2" t="s">
        <v>18</v>
      </c>
      <c r="B150" s="2" t="s">
        <v>139</v>
      </c>
      <c r="D150" s="3" t="s">
        <v>54</v>
      </c>
      <c r="E150" s="4" t="s">
        <v>25</v>
      </c>
      <c r="F150" s="4" t="s">
        <v>183</v>
      </c>
      <c r="G150" s="5">
        <v>1</v>
      </c>
      <c r="H150" s="5">
        <v>1</v>
      </c>
      <c r="I150" s="5">
        <v>1</v>
      </c>
      <c r="J150" s="5">
        <v>1</v>
      </c>
      <c r="K150" s="5">
        <v>1</v>
      </c>
      <c r="L150" s="5">
        <v>1</v>
      </c>
      <c r="M150" s="5">
        <v>1</v>
      </c>
      <c r="N150" s="5">
        <v>1</v>
      </c>
      <c r="O150" s="5">
        <v>0</v>
      </c>
      <c r="P150" s="5">
        <v>0</v>
      </c>
      <c r="Q150" s="5">
        <v>0</v>
      </c>
      <c r="R150" s="5">
        <v>0</v>
      </c>
      <c r="S150" cm="1">
        <f t="array" ref="S150">GetLatitude(U150)</f>
        <v>34.9735339</v>
      </c>
      <c r="T150" cm="1">
        <f t="array" ref="T150">GetLongitude(U150)</f>
        <v>74.513186399999995</v>
      </c>
      <c r="U150" t="str">
        <f t="shared" si="6"/>
        <v>Shounter Valley, Kashmir, PK</v>
      </c>
      <c r="V150" t="str" cm="1">
        <f t="array" ref="V150">GetCoordinates(U150)</f>
        <v>34.9735339, 74.5131864</v>
      </c>
      <c r="W150" s="13" t="e" cm="1">
        <f t="array" ref="W150">TravelTime(A150,U150,AB150)</f>
        <v>#VALUE!</v>
      </c>
      <c r="X150" s="13" t="e">
        <f t="shared" si="7"/>
        <v>#VALUE!</v>
      </c>
      <c r="Y150" s="13" cm="1">
        <f t="array" ref="Y150">TravelDistance(A150,U150,AB150)</f>
        <v>414954</v>
      </c>
      <c r="Z150" s="13" t="str">
        <f t="shared" si="8"/>
        <v>414.95km</v>
      </c>
      <c r="AA150" s="14" t="s">
        <v>361</v>
      </c>
      <c r="AB150" t="s">
        <v>355</v>
      </c>
    </row>
    <row r="151" spans="1:28" ht="15" x14ac:dyDescent="0.25">
      <c r="A151" s="2" t="s">
        <v>18</v>
      </c>
      <c r="B151" s="2" t="s">
        <v>139</v>
      </c>
      <c r="D151" s="3" t="s">
        <v>54</v>
      </c>
      <c r="E151" s="4" t="s">
        <v>154</v>
      </c>
      <c r="F151" s="4" t="s">
        <v>183</v>
      </c>
      <c r="G151" s="5">
        <v>1</v>
      </c>
      <c r="H151" s="5">
        <v>1</v>
      </c>
      <c r="I151" s="5">
        <v>1</v>
      </c>
      <c r="J151" s="5">
        <v>1</v>
      </c>
      <c r="K151" s="5">
        <v>1</v>
      </c>
      <c r="L151" s="5">
        <v>1</v>
      </c>
      <c r="M151" s="5">
        <v>1</v>
      </c>
      <c r="N151" s="5">
        <v>1</v>
      </c>
      <c r="O151" s="5">
        <v>0</v>
      </c>
      <c r="P151" s="5">
        <v>0</v>
      </c>
      <c r="Q151" s="5">
        <v>0</v>
      </c>
      <c r="R151" s="5">
        <v>0</v>
      </c>
      <c r="S151" cm="1">
        <f t="array" ref="S151">GetLatitude(U151)</f>
        <v>34.9735339</v>
      </c>
      <c r="T151" cm="1">
        <f t="array" ref="T151">GetLongitude(U151)</f>
        <v>74.513186399999995</v>
      </c>
      <c r="U151" t="str">
        <f t="shared" si="6"/>
        <v>Shounter Valley, Kashmir, PK</v>
      </c>
      <c r="V151" t="str" cm="1">
        <f t="array" ref="V151">GetCoordinates(U151)</f>
        <v>34.9735339, 74.5131864</v>
      </c>
      <c r="W151" s="13" t="e" cm="1">
        <f t="array" ref="W151">TravelTime(A151,U151,AB151)</f>
        <v>#VALUE!</v>
      </c>
      <c r="X151" s="13" t="e">
        <f t="shared" si="7"/>
        <v>#VALUE!</v>
      </c>
      <c r="Y151" s="13" cm="1">
        <f t="array" ref="Y151">TravelDistance(A151,U151,AB151)</f>
        <v>414954</v>
      </c>
      <c r="Z151" s="13" t="str">
        <f t="shared" si="8"/>
        <v>414.95km</v>
      </c>
      <c r="AA151" s="14" t="s">
        <v>361</v>
      </c>
      <c r="AB151" t="s">
        <v>355</v>
      </c>
    </row>
    <row r="152" spans="1:28" ht="15" x14ac:dyDescent="0.25">
      <c r="A152" s="2" t="s">
        <v>18</v>
      </c>
      <c r="B152" s="2" t="s">
        <v>139</v>
      </c>
      <c r="D152" s="3" t="s">
        <v>54</v>
      </c>
      <c r="E152" s="4" t="s">
        <v>184</v>
      </c>
      <c r="F152" s="4" t="s">
        <v>183</v>
      </c>
      <c r="G152" s="5">
        <v>1</v>
      </c>
      <c r="H152" s="5">
        <v>1</v>
      </c>
      <c r="I152" s="5">
        <v>1</v>
      </c>
      <c r="J152" s="5">
        <v>1</v>
      </c>
      <c r="K152" s="5">
        <v>1</v>
      </c>
      <c r="L152" s="5">
        <v>1</v>
      </c>
      <c r="M152" s="5">
        <v>1</v>
      </c>
      <c r="N152" s="5">
        <v>1</v>
      </c>
      <c r="O152" s="5">
        <v>0</v>
      </c>
      <c r="P152" s="5">
        <v>0</v>
      </c>
      <c r="Q152" s="5">
        <v>0</v>
      </c>
      <c r="R152" s="5">
        <v>0</v>
      </c>
      <c r="S152" cm="1">
        <f t="array" ref="S152">GetLatitude(U152)</f>
        <v>34.9735339</v>
      </c>
      <c r="T152" cm="1">
        <f t="array" ref="T152">GetLongitude(U152)</f>
        <v>74.513186399999995</v>
      </c>
      <c r="U152" t="str">
        <f t="shared" si="6"/>
        <v>Shounter Valley, Kashmir, PK</v>
      </c>
      <c r="V152" t="str" cm="1">
        <f t="array" ref="V152">GetCoordinates(U152)</f>
        <v>34.9735339, 74.5131864</v>
      </c>
      <c r="W152" s="13" t="e" cm="1">
        <f t="array" ref="W152">TravelTime(A152,U152,AB152)</f>
        <v>#VALUE!</v>
      </c>
      <c r="X152" s="13" t="e">
        <f t="shared" si="7"/>
        <v>#VALUE!</v>
      </c>
      <c r="Y152" s="13" cm="1">
        <f t="array" ref="Y152">TravelDistance(A152,U152,AB152)</f>
        <v>414954</v>
      </c>
      <c r="Z152" s="13" t="str">
        <f t="shared" si="8"/>
        <v>414.95km</v>
      </c>
      <c r="AA152" s="14" t="s">
        <v>361</v>
      </c>
      <c r="AB152" t="s">
        <v>355</v>
      </c>
    </row>
    <row r="153" spans="1:28" ht="15" x14ac:dyDescent="0.25">
      <c r="A153" s="2" t="s">
        <v>18</v>
      </c>
      <c r="B153" s="2" t="s">
        <v>139</v>
      </c>
      <c r="D153" s="3" t="s">
        <v>54</v>
      </c>
      <c r="E153" s="4" t="s">
        <v>140</v>
      </c>
      <c r="F153" s="4" t="s">
        <v>183</v>
      </c>
      <c r="G153" s="5">
        <v>1</v>
      </c>
      <c r="H153" s="5">
        <v>1</v>
      </c>
      <c r="I153" s="5">
        <v>1</v>
      </c>
      <c r="J153" s="5">
        <v>1</v>
      </c>
      <c r="K153" s="5">
        <v>1</v>
      </c>
      <c r="L153" s="5">
        <v>1</v>
      </c>
      <c r="M153" s="5">
        <v>1</v>
      </c>
      <c r="N153" s="5">
        <v>1</v>
      </c>
      <c r="O153" s="5">
        <v>0</v>
      </c>
      <c r="P153" s="5">
        <v>0</v>
      </c>
      <c r="Q153" s="5">
        <v>0</v>
      </c>
      <c r="R153" s="5">
        <v>0</v>
      </c>
      <c r="S153" cm="1">
        <f t="array" ref="S153">GetLatitude(U153)</f>
        <v>34.9735339</v>
      </c>
      <c r="T153" cm="1">
        <f t="array" ref="T153">GetLongitude(U153)</f>
        <v>74.513186399999995</v>
      </c>
      <c r="U153" t="str">
        <f t="shared" si="6"/>
        <v>Shounter Valley, Kashmir, PK</v>
      </c>
      <c r="V153" t="str" cm="1">
        <f t="array" ref="V153">GetCoordinates(U153)</f>
        <v>34.9735339, 74.5131864</v>
      </c>
      <c r="W153" s="13" t="e" cm="1">
        <f t="array" ref="W153">TravelTime(A153,U153,AB153)</f>
        <v>#VALUE!</v>
      </c>
      <c r="X153" s="13" t="e">
        <f t="shared" si="7"/>
        <v>#VALUE!</v>
      </c>
      <c r="Y153" s="13" cm="1">
        <f t="array" ref="Y153">TravelDistance(A153,U153,AB153)</f>
        <v>414954</v>
      </c>
      <c r="Z153" s="13" t="str">
        <f t="shared" si="8"/>
        <v>414.95km</v>
      </c>
      <c r="AA153" s="14" t="s">
        <v>361</v>
      </c>
      <c r="AB153" t="s">
        <v>355</v>
      </c>
    </row>
    <row r="154" spans="1:28" ht="15" x14ac:dyDescent="0.25">
      <c r="A154" s="2" t="s">
        <v>18</v>
      </c>
      <c r="B154" s="2" t="s">
        <v>139</v>
      </c>
      <c r="D154" s="3" t="s">
        <v>24</v>
      </c>
      <c r="E154" s="4" t="s">
        <v>149</v>
      </c>
      <c r="F154" s="4" t="s">
        <v>185</v>
      </c>
      <c r="G154" s="5">
        <v>1</v>
      </c>
      <c r="H154" s="5">
        <v>1</v>
      </c>
      <c r="I154" s="5">
        <v>1</v>
      </c>
      <c r="J154" s="5">
        <v>1</v>
      </c>
      <c r="K154" s="5">
        <v>1</v>
      </c>
      <c r="L154" s="5">
        <v>1</v>
      </c>
      <c r="M154" s="5">
        <v>1</v>
      </c>
      <c r="N154" s="5">
        <v>1</v>
      </c>
      <c r="O154" s="5">
        <v>0</v>
      </c>
      <c r="P154" s="5">
        <v>0</v>
      </c>
      <c r="Q154" s="5">
        <v>0</v>
      </c>
      <c r="R154" s="5">
        <v>0</v>
      </c>
      <c r="S154" cm="1">
        <f t="array" ref="S154">GetLatitude(U154)</f>
        <v>33.892772100000002</v>
      </c>
      <c r="T154" cm="1">
        <f t="array" ref="T154">GetLongitude(U154)</f>
        <v>73.907952899999998</v>
      </c>
      <c r="U154" t="str">
        <f t="shared" si="6"/>
        <v>Toli Pir, Kashmir, PK</v>
      </c>
      <c r="V154" t="str" cm="1">
        <f t="array" ref="V154">GetCoordinates(U154)</f>
        <v>33.8927721, 73.9079529</v>
      </c>
      <c r="W154" s="13" cm="1">
        <f t="array" ref="W154">TravelTime(A154,U154,AB154)</f>
        <v>16530</v>
      </c>
      <c r="X154" s="13">
        <f t="shared" si="7"/>
        <v>275.5</v>
      </c>
      <c r="Y154" s="13" cm="1">
        <f t="array" ref="Y154">TravelDistance(A154,U154,AB154)</f>
        <v>142157</v>
      </c>
      <c r="Z154" s="13" t="str">
        <f t="shared" si="8"/>
        <v>142.16km</v>
      </c>
      <c r="AA154" s="14" t="s">
        <v>361</v>
      </c>
      <c r="AB154" t="s">
        <v>355</v>
      </c>
    </row>
    <row r="155" spans="1:28" ht="15" x14ac:dyDescent="0.25">
      <c r="A155" s="2" t="s">
        <v>18</v>
      </c>
      <c r="B155" s="2" t="s">
        <v>139</v>
      </c>
      <c r="D155" s="3" t="s">
        <v>24</v>
      </c>
      <c r="E155" s="4" t="s">
        <v>21</v>
      </c>
      <c r="F155" s="4" t="s">
        <v>185</v>
      </c>
      <c r="G155" s="5">
        <v>1</v>
      </c>
      <c r="H155" s="5">
        <v>1</v>
      </c>
      <c r="I155" s="5">
        <v>1</v>
      </c>
      <c r="J155" s="5">
        <v>1</v>
      </c>
      <c r="K155" s="5">
        <v>1</v>
      </c>
      <c r="L155" s="5">
        <v>1</v>
      </c>
      <c r="M155" s="5">
        <v>1</v>
      </c>
      <c r="N155" s="5">
        <v>1</v>
      </c>
      <c r="O155" s="5">
        <v>0</v>
      </c>
      <c r="P155" s="5">
        <v>0</v>
      </c>
      <c r="Q155" s="5">
        <v>0</v>
      </c>
      <c r="R155" s="5">
        <v>0</v>
      </c>
      <c r="S155" cm="1">
        <f t="array" ref="S155">GetLatitude(U155)</f>
        <v>33.892772100000002</v>
      </c>
      <c r="T155" cm="1">
        <f t="array" ref="T155">GetLongitude(U155)</f>
        <v>73.907952899999998</v>
      </c>
      <c r="U155" t="str">
        <f t="shared" si="6"/>
        <v>Toli Pir, Kashmir, PK</v>
      </c>
      <c r="V155" t="str" cm="1">
        <f t="array" ref="V155">GetCoordinates(U155)</f>
        <v>33.8927721, 73.9079529</v>
      </c>
      <c r="W155" s="13" cm="1">
        <f t="array" ref="W155">TravelTime(A155,U155,AB155)</f>
        <v>16530</v>
      </c>
      <c r="X155" s="13">
        <f t="shared" si="7"/>
        <v>275.5</v>
      </c>
      <c r="Y155" s="13" cm="1">
        <f t="array" ref="Y155">TravelDistance(A155,U155,AB155)</f>
        <v>142157</v>
      </c>
      <c r="Z155" s="13" t="str">
        <f t="shared" si="8"/>
        <v>142.16km</v>
      </c>
      <c r="AA155" s="14" t="s">
        <v>361</v>
      </c>
      <c r="AB155" t="s">
        <v>355</v>
      </c>
    </row>
    <row r="156" spans="1:28" ht="15" x14ac:dyDescent="0.25">
      <c r="A156" s="2" t="s">
        <v>18</v>
      </c>
      <c r="B156" s="2" t="s">
        <v>186</v>
      </c>
      <c r="D156" s="3" t="s">
        <v>28</v>
      </c>
      <c r="E156" s="4" t="s">
        <v>29</v>
      </c>
      <c r="F156" s="4" t="s">
        <v>187</v>
      </c>
      <c r="G156" s="5">
        <v>1</v>
      </c>
      <c r="H156" s="5">
        <v>1</v>
      </c>
      <c r="I156" s="5">
        <v>1</v>
      </c>
      <c r="J156" s="5">
        <v>1</v>
      </c>
      <c r="K156" s="5">
        <v>1</v>
      </c>
      <c r="L156" s="5">
        <v>1</v>
      </c>
      <c r="M156" s="5">
        <v>1</v>
      </c>
      <c r="N156" s="5">
        <v>1</v>
      </c>
      <c r="O156" s="5">
        <v>1</v>
      </c>
      <c r="P156" s="5">
        <v>1</v>
      </c>
      <c r="Q156" s="5">
        <v>0</v>
      </c>
      <c r="R156" s="5">
        <v>0</v>
      </c>
      <c r="S156" cm="1">
        <f t="array" ref="S156">GetLatitude(U156)</f>
        <v>34.002513999999998</v>
      </c>
      <c r="T156" cm="1">
        <f t="array" ref="T156">GetLongitude(U156)</f>
        <v>71.380064099999998</v>
      </c>
      <c r="U156" t="str">
        <f t="shared" si="6"/>
        <v>Bab-e-Khyber, Khyber Agency, PK</v>
      </c>
      <c r="V156" t="str" cm="1">
        <f t="array" ref="V156">GetCoordinates(U156)</f>
        <v>34.0025140, 71.3800641</v>
      </c>
      <c r="W156" s="13" cm="1">
        <f t="array" ref="W156">TravelTime(A156,U156,AB156)</f>
        <v>9749</v>
      </c>
      <c r="X156" s="13">
        <f t="shared" si="7"/>
        <v>162.48333333333332</v>
      </c>
      <c r="Y156" s="13" cm="1">
        <f t="array" ref="Y156">TravelDistance(A156,U156,AB156)</f>
        <v>201473</v>
      </c>
      <c r="Z156" s="13" t="str">
        <f t="shared" si="8"/>
        <v>201.47km</v>
      </c>
      <c r="AA156" s="14" t="s">
        <v>361</v>
      </c>
      <c r="AB156" t="s">
        <v>355</v>
      </c>
    </row>
    <row r="157" spans="1:28" ht="15" x14ac:dyDescent="0.25">
      <c r="A157" s="2" t="s">
        <v>18</v>
      </c>
      <c r="B157" s="2" t="s">
        <v>188</v>
      </c>
      <c r="D157" s="3" t="s">
        <v>24</v>
      </c>
      <c r="E157" s="4" t="s">
        <v>21</v>
      </c>
      <c r="F157" s="4" t="s">
        <v>189</v>
      </c>
      <c r="G157" s="5">
        <v>1</v>
      </c>
      <c r="H157" s="5">
        <v>1</v>
      </c>
      <c r="I157" s="5">
        <v>1</v>
      </c>
      <c r="J157" s="5">
        <v>1</v>
      </c>
      <c r="K157" s="5">
        <v>1</v>
      </c>
      <c r="L157" s="5">
        <v>1</v>
      </c>
      <c r="M157" s="5">
        <v>1</v>
      </c>
      <c r="N157" s="5">
        <v>1</v>
      </c>
      <c r="O157" s="5">
        <v>1</v>
      </c>
      <c r="P157" s="5">
        <v>1</v>
      </c>
      <c r="Q157" s="5">
        <v>0</v>
      </c>
      <c r="R157" s="5">
        <v>0</v>
      </c>
      <c r="S157" cm="1">
        <f t="array" ref="S157">GetLatitude(U157)</f>
        <v>36.892222199999999</v>
      </c>
      <c r="T157" cm="1">
        <f t="array" ref="T157">GetLongitude(U157)</f>
        <v>73.263333299999999</v>
      </c>
      <c r="U157" t="str">
        <f t="shared" si="6"/>
        <v>Hindu Kush Mountains, KPK, PK</v>
      </c>
      <c r="V157" t="str" cm="1">
        <f t="array" ref="V157">GetCoordinates(U157)</f>
        <v>36.8922222, 73.2633333</v>
      </c>
      <c r="W157" s="13" t="e" cm="1">
        <f t="array" ref="W157">TravelTime(A157,U157,AB157)</f>
        <v>#VALUE!</v>
      </c>
      <c r="X157" s="13" t="e">
        <f t="shared" si="7"/>
        <v>#VALUE!</v>
      </c>
      <c r="Y157" s="13" t="e" cm="1">
        <f t="array" ref="Y157">TravelDistance(A157,U157,AB157)</f>
        <v>#VALUE!</v>
      </c>
      <c r="Z157" s="13" t="e">
        <f t="shared" si="8"/>
        <v>#VALUE!</v>
      </c>
      <c r="AA157" s="14" t="s">
        <v>361</v>
      </c>
      <c r="AB157" t="s">
        <v>355</v>
      </c>
    </row>
    <row r="158" spans="1:28" ht="15" x14ac:dyDescent="0.25">
      <c r="A158" s="2" t="s">
        <v>18</v>
      </c>
      <c r="B158" s="2" t="s">
        <v>190</v>
      </c>
      <c r="D158" s="3" t="s">
        <v>28</v>
      </c>
      <c r="E158" s="4" t="s">
        <v>29</v>
      </c>
      <c r="F158" s="4" t="s">
        <v>191</v>
      </c>
      <c r="G158" s="5">
        <v>1</v>
      </c>
      <c r="H158" s="5">
        <v>1</v>
      </c>
      <c r="I158" s="5">
        <v>1</v>
      </c>
      <c r="J158" s="5">
        <v>1</v>
      </c>
      <c r="K158" s="5">
        <v>1</v>
      </c>
      <c r="L158" s="5">
        <v>1</v>
      </c>
      <c r="M158" s="5">
        <v>1</v>
      </c>
      <c r="N158" s="5">
        <v>1</v>
      </c>
      <c r="O158" s="5">
        <v>1</v>
      </c>
      <c r="P158" s="5">
        <v>1</v>
      </c>
      <c r="Q158" s="5">
        <v>1</v>
      </c>
      <c r="R158" s="5">
        <v>1</v>
      </c>
      <c r="S158" cm="1">
        <f t="array" ref="S158">GetLatitude(U158)</f>
        <v>31.520369599999999</v>
      </c>
      <c r="T158" cm="1">
        <f t="array" ref="T158">GetLongitude(U158)</f>
        <v>74.358747300000005</v>
      </c>
      <c r="U158" t="str">
        <f t="shared" si="6"/>
        <v>Akbari Sarai, Lahore, PK</v>
      </c>
      <c r="V158" t="str" cm="1">
        <f t="array" ref="V158">GetCoordinates(U158)</f>
        <v>31.5203696, 74.3587473</v>
      </c>
      <c r="W158" s="13" cm="1">
        <f t="array" ref="W158">TravelTime(A158,U158,AB158)</f>
        <v>15602</v>
      </c>
      <c r="X158" s="13">
        <f t="shared" si="7"/>
        <v>260.03333333333336</v>
      </c>
      <c r="Y158" s="13" cm="1">
        <f t="array" ref="Y158">TravelDistance(A158,U158,AB158)</f>
        <v>374480</v>
      </c>
      <c r="Z158" s="13" t="str">
        <f t="shared" si="8"/>
        <v>374.48km</v>
      </c>
      <c r="AA158" s="14" t="s">
        <v>361</v>
      </c>
      <c r="AB158" t="s">
        <v>355</v>
      </c>
    </row>
    <row r="159" spans="1:28" ht="15" x14ac:dyDescent="0.25">
      <c r="A159" s="2" t="s">
        <v>18</v>
      </c>
      <c r="B159" s="2" t="s">
        <v>190</v>
      </c>
      <c r="D159" s="3" t="s">
        <v>28</v>
      </c>
      <c r="E159" s="4" t="s">
        <v>29</v>
      </c>
      <c r="F159" s="4" t="s">
        <v>192</v>
      </c>
      <c r="G159" s="5">
        <v>1</v>
      </c>
      <c r="H159" s="5">
        <v>1</v>
      </c>
      <c r="I159" s="5">
        <v>1</v>
      </c>
      <c r="J159" s="5">
        <v>1</v>
      </c>
      <c r="K159" s="5">
        <v>1</v>
      </c>
      <c r="L159" s="5">
        <v>1</v>
      </c>
      <c r="M159" s="5">
        <v>1</v>
      </c>
      <c r="N159" s="5">
        <v>1</v>
      </c>
      <c r="O159" s="5">
        <v>1</v>
      </c>
      <c r="P159" s="5">
        <v>1</v>
      </c>
      <c r="Q159" s="5">
        <v>1</v>
      </c>
      <c r="R159" s="5">
        <v>1</v>
      </c>
      <c r="S159" cm="1">
        <f t="array" ref="S159">GetLatitude(U159)</f>
        <v>31.5570013</v>
      </c>
      <c r="T159" cm="1">
        <f t="array" ref="T159">GetLongitude(U159)</f>
        <v>74.334552599999995</v>
      </c>
      <c r="U159" t="str">
        <f t="shared" si="6"/>
        <v>Governor House, Lahore, PK</v>
      </c>
      <c r="V159" t="str" cm="1">
        <f t="array" ref="V159">GetCoordinates(U159)</f>
        <v>31.5570013, 74.3345526</v>
      </c>
      <c r="W159" s="13" cm="1">
        <f t="array" ref="W159">TravelTime(A159,U159,AB159)</f>
        <v>15454</v>
      </c>
      <c r="X159" s="13">
        <f t="shared" si="7"/>
        <v>257.56666666666666</v>
      </c>
      <c r="Y159" s="13" cm="1">
        <f t="array" ref="Y159">TravelDistance(A159,U159,AB159)</f>
        <v>372724</v>
      </c>
      <c r="Z159" s="13" t="str">
        <f t="shared" si="8"/>
        <v>372.72km</v>
      </c>
      <c r="AA159" s="14" t="s">
        <v>361</v>
      </c>
      <c r="AB159" t="s">
        <v>355</v>
      </c>
    </row>
    <row r="160" spans="1:28" ht="15" x14ac:dyDescent="0.25">
      <c r="A160" s="2" t="s">
        <v>18</v>
      </c>
      <c r="B160" s="2" t="s">
        <v>190</v>
      </c>
      <c r="D160" s="3" t="s">
        <v>28</v>
      </c>
      <c r="E160" s="4" t="s">
        <v>29</v>
      </c>
      <c r="F160" s="4" t="s">
        <v>193</v>
      </c>
      <c r="G160" s="5">
        <v>1</v>
      </c>
      <c r="H160" s="5">
        <v>1</v>
      </c>
      <c r="I160" s="5">
        <v>1</v>
      </c>
      <c r="J160" s="5">
        <v>1</v>
      </c>
      <c r="K160" s="5">
        <v>1</v>
      </c>
      <c r="L160" s="5">
        <v>1</v>
      </c>
      <c r="M160" s="5">
        <v>1</v>
      </c>
      <c r="N160" s="5">
        <v>1</v>
      </c>
      <c r="O160" s="5">
        <v>1</v>
      </c>
      <c r="P160" s="5">
        <v>1</v>
      </c>
      <c r="Q160" s="5">
        <v>1</v>
      </c>
      <c r="R160" s="5">
        <v>1</v>
      </c>
      <c r="S160" cm="1">
        <f t="array" ref="S160">GetLatitude(U160)</f>
        <v>31.551728099999998</v>
      </c>
      <c r="T160" cm="1">
        <f t="array" ref="T160">GetLongitude(U160)</f>
        <v>74.346241500000005</v>
      </c>
      <c r="U160" t="str">
        <f t="shared" si="6"/>
        <v>Aitchison College Lahore, Lahore, PK</v>
      </c>
      <c r="V160" t="str" cm="1">
        <f t="array" ref="V160">GetCoordinates(U160)</f>
        <v>31.5517281, 74.3462415</v>
      </c>
      <c r="W160" s="13" cm="1">
        <f t="array" ref="W160">TravelTime(A160,U160,AB160)</f>
        <v>15516</v>
      </c>
      <c r="X160" s="13">
        <f t="shared" si="7"/>
        <v>258.60000000000002</v>
      </c>
      <c r="Y160" s="13" cm="1">
        <f t="array" ref="Y160">TravelDistance(A160,U160,AB160)</f>
        <v>372635</v>
      </c>
      <c r="Z160" s="13" t="str">
        <f t="shared" si="8"/>
        <v>372.64km</v>
      </c>
      <c r="AA160" s="14" t="s">
        <v>361</v>
      </c>
      <c r="AB160" t="s">
        <v>355</v>
      </c>
    </row>
    <row r="161" spans="1:28" ht="15" x14ac:dyDescent="0.25">
      <c r="A161" s="2" t="s">
        <v>18</v>
      </c>
      <c r="B161" s="2" t="s">
        <v>190</v>
      </c>
      <c r="D161" s="3" t="s">
        <v>45</v>
      </c>
      <c r="E161" s="4" t="s">
        <v>29</v>
      </c>
      <c r="F161" s="4" t="s">
        <v>194</v>
      </c>
      <c r="G161" s="5">
        <v>1</v>
      </c>
      <c r="H161" s="5">
        <v>1</v>
      </c>
      <c r="I161" s="5">
        <v>1</v>
      </c>
      <c r="J161" s="5">
        <v>1</v>
      </c>
      <c r="K161" s="5">
        <v>1</v>
      </c>
      <c r="L161" s="5">
        <v>1</v>
      </c>
      <c r="M161" s="5">
        <v>1</v>
      </c>
      <c r="N161" s="5">
        <v>1</v>
      </c>
      <c r="O161" s="5">
        <v>1</v>
      </c>
      <c r="P161" s="5">
        <v>1</v>
      </c>
      <c r="Q161" s="5">
        <v>1</v>
      </c>
      <c r="R161" s="5">
        <v>1</v>
      </c>
      <c r="S161" cm="1">
        <f t="array" ref="S161">GetLatitude(U161)</f>
        <v>31.587966399999999</v>
      </c>
      <c r="T161" cm="1">
        <f t="array" ref="T161">GetLongitude(U161)</f>
        <v>74.3107136</v>
      </c>
      <c r="U161" t="str">
        <f t="shared" si="6"/>
        <v>Badshahi Mosque, Lahore, PK</v>
      </c>
      <c r="V161" t="str" cm="1">
        <f t="array" ref="V161">GetCoordinates(U161)</f>
        <v>31.5879664, 74.3107136</v>
      </c>
      <c r="W161" s="13" cm="1">
        <f t="array" ref="W161">TravelTime(A161,U161,AB161)</f>
        <v>15093</v>
      </c>
      <c r="X161" s="13">
        <f t="shared" si="7"/>
        <v>251.55</v>
      </c>
      <c r="Y161" s="13" cm="1">
        <f t="array" ref="Y161">TravelDistance(A161,U161,AB161)</f>
        <v>361361</v>
      </c>
      <c r="Z161" s="13" t="str">
        <f t="shared" si="8"/>
        <v>361.36km</v>
      </c>
      <c r="AA161" s="14" t="s">
        <v>361</v>
      </c>
      <c r="AB161" t="s">
        <v>355</v>
      </c>
    </row>
    <row r="162" spans="1:28" ht="15" x14ac:dyDescent="0.25">
      <c r="A162" s="2" t="s">
        <v>18</v>
      </c>
      <c r="B162" s="2" t="s">
        <v>190</v>
      </c>
      <c r="D162" s="3" t="s">
        <v>45</v>
      </c>
      <c r="E162" s="4" t="s">
        <v>29</v>
      </c>
      <c r="F162" s="4" t="s">
        <v>195</v>
      </c>
      <c r="G162" s="5">
        <v>1</v>
      </c>
      <c r="H162" s="5">
        <v>1</v>
      </c>
      <c r="I162" s="5">
        <v>1</v>
      </c>
      <c r="J162" s="5">
        <v>1</v>
      </c>
      <c r="K162" s="5">
        <v>1</v>
      </c>
      <c r="L162" s="5">
        <v>1</v>
      </c>
      <c r="M162" s="5">
        <v>1</v>
      </c>
      <c r="N162" s="5">
        <v>1</v>
      </c>
      <c r="O162" s="5">
        <v>1</v>
      </c>
      <c r="P162" s="5">
        <v>1</v>
      </c>
      <c r="Q162" s="5">
        <v>1</v>
      </c>
      <c r="R162" s="5">
        <v>1</v>
      </c>
      <c r="S162" cm="1">
        <f t="array" ref="S162">GetLatitude(U162)</f>
        <v>31.592493300000001</v>
      </c>
      <c r="T162" cm="1">
        <f t="array" ref="T162">GetLongitude(U162)</f>
        <v>74.309508500000007</v>
      </c>
      <c r="U162" t="str">
        <f t="shared" si="6"/>
        <v>Minar-e-Pakistan, Lahore, PK</v>
      </c>
      <c r="V162" t="str" cm="1">
        <f t="array" ref="V162">GetCoordinates(U162)</f>
        <v>31.5924933, 74.3095085</v>
      </c>
      <c r="W162" s="13" cm="1">
        <f t="array" ref="W162">TravelTime(A162,U162,AB162)</f>
        <v>15034</v>
      </c>
      <c r="X162" s="13">
        <f t="shared" si="7"/>
        <v>250.56666666666666</v>
      </c>
      <c r="Y162" s="13" cm="1">
        <f t="array" ref="Y162">TravelDistance(A162,U162,AB162)</f>
        <v>361976</v>
      </c>
      <c r="Z162" s="13" t="str">
        <f t="shared" si="8"/>
        <v>361.98km</v>
      </c>
      <c r="AA162" s="14" t="s">
        <v>361</v>
      </c>
      <c r="AB162" t="s">
        <v>355</v>
      </c>
    </row>
    <row r="163" spans="1:28" ht="15" x14ac:dyDescent="0.25">
      <c r="A163" s="2" t="s">
        <v>18</v>
      </c>
      <c r="B163" s="2" t="s">
        <v>190</v>
      </c>
      <c r="D163" s="3" t="s">
        <v>45</v>
      </c>
      <c r="E163" s="4" t="s">
        <v>29</v>
      </c>
      <c r="F163" s="4" t="s">
        <v>196</v>
      </c>
      <c r="G163" s="5">
        <v>1</v>
      </c>
      <c r="H163" s="5">
        <v>1</v>
      </c>
      <c r="I163" s="5">
        <v>1</v>
      </c>
      <c r="J163" s="5">
        <v>1</v>
      </c>
      <c r="K163" s="5">
        <v>1</v>
      </c>
      <c r="L163" s="5">
        <v>1</v>
      </c>
      <c r="M163" s="5">
        <v>1</v>
      </c>
      <c r="N163" s="5">
        <v>1</v>
      </c>
      <c r="O163" s="5">
        <v>1</v>
      </c>
      <c r="P163" s="5">
        <v>1</v>
      </c>
      <c r="Q163" s="5">
        <v>1</v>
      </c>
      <c r="R163" s="5">
        <v>1</v>
      </c>
      <c r="S163" cm="1">
        <f t="array" ref="S163">GetLatitude(U163)</f>
        <v>31.5885277</v>
      </c>
      <c r="T163" cm="1">
        <f t="array" ref="T163">GetLongitude(U163)</f>
        <v>74.312623299999998</v>
      </c>
      <c r="U163" t="str">
        <f t="shared" si="6"/>
        <v>Alamgiri Gate, Lahore, PK</v>
      </c>
      <c r="V163" t="str" cm="1">
        <f t="array" ref="V163">GetCoordinates(U163)</f>
        <v>31.5885277, 74.3126233</v>
      </c>
      <c r="W163" s="13" cm="1">
        <f t="array" ref="W163">TravelTime(A163,U163,AB163)</f>
        <v>15133</v>
      </c>
      <c r="X163" s="13">
        <f t="shared" si="7"/>
        <v>252.21666666666667</v>
      </c>
      <c r="Y163" s="13" cm="1">
        <f t="array" ref="Y163">TravelDistance(A163,U163,AB163)</f>
        <v>361480</v>
      </c>
      <c r="Z163" s="13" t="str">
        <f t="shared" si="8"/>
        <v>361.48km</v>
      </c>
      <c r="AA163" s="14" t="s">
        <v>361</v>
      </c>
      <c r="AB163" t="s">
        <v>355</v>
      </c>
    </row>
    <row r="164" spans="1:28" ht="15" x14ac:dyDescent="0.25">
      <c r="A164" s="2" t="s">
        <v>18</v>
      </c>
      <c r="B164" s="2" t="s">
        <v>190</v>
      </c>
      <c r="D164" s="3" t="s">
        <v>28</v>
      </c>
      <c r="E164" s="4" t="s">
        <v>29</v>
      </c>
      <c r="F164" s="4" t="s">
        <v>197</v>
      </c>
      <c r="G164" s="5">
        <v>1</v>
      </c>
      <c r="H164" s="5">
        <v>1</v>
      </c>
      <c r="I164" s="5">
        <v>1</v>
      </c>
      <c r="J164" s="5">
        <v>1</v>
      </c>
      <c r="K164" s="5">
        <v>1</v>
      </c>
      <c r="L164" s="5">
        <v>1</v>
      </c>
      <c r="M164" s="5">
        <v>1</v>
      </c>
      <c r="N164" s="5">
        <v>1</v>
      </c>
      <c r="O164" s="5">
        <v>1</v>
      </c>
      <c r="P164" s="5">
        <v>1</v>
      </c>
      <c r="Q164" s="5">
        <v>1</v>
      </c>
      <c r="R164" s="5">
        <v>1</v>
      </c>
      <c r="S164" cm="1">
        <f t="array" ref="S164">GetLatitude(U164)</f>
        <v>31.582113700000001</v>
      </c>
      <c r="T164" cm="1">
        <f t="array" ref="T164">GetLongitude(U164)</f>
        <v>74.326029800000001</v>
      </c>
      <c r="U164" t="str">
        <f t="shared" si="6"/>
        <v>Shahi Hammam, Lahore, PK</v>
      </c>
      <c r="V164" t="str" cm="1">
        <f t="array" ref="V164">GetCoordinates(U164)</f>
        <v>31.5821137, 74.3260298</v>
      </c>
      <c r="W164" s="13" cm="1">
        <f t="array" ref="W164">TravelTime(A164,U164,AB164)</f>
        <v>15380</v>
      </c>
      <c r="X164" s="13">
        <f t="shared" si="7"/>
        <v>256.33333333333331</v>
      </c>
      <c r="Y164" s="13" cm="1">
        <f t="array" ref="Y164">TravelDistance(A164,U164,AB164)</f>
        <v>370532</v>
      </c>
      <c r="Z164" s="13" t="str">
        <f t="shared" si="8"/>
        <v>370.53km</v>
      </c>
      <c r="AA164" s="14" t="s">
        <v>361</v>
      </c>
      <c r="AB164" t="s">
        <v>355</v>
      </c>
    </row>
    <row r="165" spans="1:28" ht="15" x14ac:dyDescent="0.25">
      <c r="A165" s="2" t="s">
        <v>18</v>
      </c>
      <c r="B165" s="2" t="s">
        <v>190</v>
      </c>
      <c r="D165" s="3" t="s">
        <v>28</v>
      </c>
      <c r="E165" s="4" t="s">
        <v>29</v>
      </c>
      <c r="F165" s="4" t="s">
        <v>198</v>
      </c>
      <c r="G165" s="5">
        <v>1</v>
      </c>
      <c r="H165" s="5">
        <v>1</v>
      </c>
      <c r="I165" s="5">
        <v>1</v>
      </c>
      <c r="J165" s="5">
        <v>1</v>
      </c>
      <c r="K165" s="5">
        <v>1</v>
      </c>
      <c r="L165" s="5">
        <v>1</v>
      </c>
      <c r="M165" s="5">
        <v>1</v>
      </c>
      <c r="N165" s="5">
        <v>1</v>
      </c>
      <c r="O165" s="5">
        <v>1</v>
      </c>
      <c r="P165" s="5">
        <v>1</v>
      </c>
      <c r="Q165" s="5">
        <v>1</v>
      </c>
      <c r="R165" s="5">
        <v>1</v>
      </c>
      <c r="S165" cm="1">
        <f t="array" ref="S165">GetLatitude(U165)</f>
        <v>31.585726600000001</v>
      </c>
      <c r="T165" cm="1">
        <f t="array" ref="T165">GetLongitude(U165)</f>
        <v>74.316539599999999</v>
      </c>
      <c r="U165" t="str">
        <f t="shared" si="6"/>
        <v>Bhatti Gate, Lahore, PK</v>
      </c>
      <c r="V165" t="str" cm="1">
        <f t="array" ref="V165">GetCoordinates(U165)</f>
        <v>31.5857266, 74.3165396</v>
      </c>
      <c r="W165" s="13" cm="1">
        <f t="array" ref="W165">TravelTime(A165,U165,AB165)</f>
        <v>15209</v>
      </c>
      <c r="X165" s="13">
        <f t="shared" si="7"/>
        <v>253.48333333333332</v>
      </c>
      <c r="Y165" s="13" cm="1">
        <f t="array" ref="Y165">TravelDistance(A165,U165,AB165)</f>
        <v>361798</v>
      </c>
      <c r="Z165" s="13" t="str">
        <f t="shared" si="8"/>
        <v>361.8km</v>
      </c>
      <c r="AA165" s="14" t="s">
        <v>361</v>
      </c>
      <c r="AB165" t="s">
        <v>355</v>
      </c>
    </row>
    <row r="166" spans="1:28" ht="15" x14ac:dyDescent="0.25">
      <c r="A166" s="2" t="s">
        <v>18</v>
      </c>
      <c r="B166" s="2" t="s">
        <v>190</v>
      </c>
      <c r="D166" s="3" t="s">
        <v>39</v>
      </c>
      <c r="E166" s="4" t="s">
        <v>21</v>
      </c>
      <c r="F166" s="4" t="s">
        <v>199</v>
      </c>
      <c r="G166" s="5">
        <v>1</v>
      </c>
      <c r="H166" s="5">
        <v>1</v>
      </c>
      <c r="I166" s="5">
        <v>1</v>
      </c>
      <c r="J166" s="5">
        <v>1</v>
      </c>
      <c r="K166" s="5">
        <v>1</v>
      </c>
      <c r="L166" s="5">
        <v>1</v>
      </c>
      <c r="M166" s="5">
        <v>1</v>
      </c>
      <c r="N166" s="5">
        <v>1</v>
      </c>
      <c r="O166" s="5">
        <v>1</v>
      </c>
      <c r="P166" s="5">
        <v>1</v>
      </c>
      <c r="Q166" s="5">
        <v>1</v>
      </c>
      <c r="R166" s="5">
        <v>1</v>
      </c>
      <c r="S166" cm="1">
        <f t="array" ref="S166">GetLatitude(U166)</f>
        <v>31.584620300000001</v>
      </c>
      <c r="T166" cm="1">
        <f t="array" ref="T166">GetLongitude(U166)</f>
        <v>74.383532599999995</v>
      </c>
      <c r="U166" t="str">
        <f t="shared" si="6"/>
        <v>Fort and Shalamar Gardens, Lahore, PK</v>
      </c>
      <c r="V166" t="str" cm="1">
        <f t="array" ref="V166">GetCoordinates(U166)</f>
        <v>31.5846203, 74.3835326</v>
      </c>
      <c r="W166" s="13" cm="1">
        <f t="array" ref="W166">TravelTime(A166,U166,AB166)</f>
        <v>15182</v>
      </c>
      <c r="X166" s="13">
        <f t="shared" si="7"/>
        <v>253.03333333333333</v>
      </c>
      <c r="Y166" s="13" cm="1">
        <f t="array" ref="Y166">TravelDistance(A166,U166,AB166)</f>
        <v>380441</v>
      </c>
      <c r="Z166" s="13" t="str">
        <f t="shared" si="8"/>
        <v>380.44km</v>
      </c>
      <c r="AA166" s="14" t="s">
        <v>361</v>
      </c>
      <c r="AB166" t="s">
        <v>355</v>
      </c>
    </row>
    <row r="167" spans="1:28" ht="15" x14ac:dyDescent="0.25">
      <c r="A167" s="2" t="s">
        <v>18</v>
      </c>
      <c r="B167" s="2" t="s">
        <v>190</v>
      </c>
      <c r="D167" s="3" t="s">
        <v>117</v>
      </c>
      <c r="E167" s="4" t="s">
        <v>29</v>
      </c>
      <c r="F167" s="4" t="s">
        <v>200</v>
      </c>
      <c r="G167" s="5">
        <v>1</v>
      </c>
      <c r="H167" s="5">
        <v>1</v>
      </c>
      <c r="I167" s="5">
        <v>1</v>
      </c>
      <c r="J167" s="5">
        <v>1</v>
      </c>
      <c r="K167" s="5">
        <v>1</v>
      </c>
      <c r="L167" s="5">
        <v>1</v>
      </c>
      <c r="M167" s="5">
        <v>1</v>
      </c>
      <c r="N167" s="5">
        <v>1</v>
      </c>
      <c r="O167" s="5">
        <v>1</v>
      </c>
      <c r="P167" s="5">
        <v>1</v>
      </c>
      <c r="Q167" s="5">
        <v>1</v>
      </c>
      <c r="R167" s="5">
        <v>1</v>
      </c>
      <c r="S167" cm="1">
        <f t="array" ref="S167">GetLatitude(U167)</f>
        <v>31.604756999999999</v>
      </c>
      <c r="T167" cm="1">
        <f t="array" ref="T167">GetLongitude(U167)</f>
        <v>74.574135999999996</v>
      </c>
      <c r="U167" t="str">
        <f t="shared" si="6"/>
        <v>Wagah Border, Lahore, PK</v>
      </c>
      <c r="V167" t="str" cm="1">
        <f t="array" ref="V167">GetCoordinates(U167)</f>
        <v>31.6047570, 74.5741360</v>
      </c>
      <c r="W167" s="13" cm="1">
        <f t="array" ref="W167">TravelTime(A167,U167,AB167)</f>
        <v>15671</v>
      </c>
      <c r="X167" s="13">
        <f t="shared" si="7"/>
        <v>261.18333333333334</v>
      </c>
      <c r="Y167" s="13" cm="1">
        <f t="array" ref="Y167">TravelDistance(A167,U167,AB167)</f>
        <v>387698</v>
      </c>
      <c r="Z167" s="13" t="str">
        <f t="shared" si="8"/>
        <v>387.7km</v>
      </c>
      <c r="AA167" s="14" t="s">
        <v>361</v>
      </c>
      <c r="AB167" t="s">
        <v>355</v>
      </c>
    </row>
    <row r="168" spans="1:28" ht="15" x14ac:dyDescent="0.25">
      <c r="A168" s="2" t="s">
        <v>18</v>
      </c>
      <c r="B168" s="2" t="s">
        <v>190</v>
      </c>
      <c r="D168" s="3" t="s">
        <v>28</v>
      </c>
      <c r="E168" s="4" t="s">
        <v>29</v>
      </c>
      <c r="F168" s="4" t="s">
        <v>201</v>
      </c>
      <c r="G168" s="5">
        <v>1</v>
      </c>
      <c r="H168" s="5">
        <v>1</v>
      </c>
      <c r="I168" s="5">
        <v>1</v>
      </c>
      <c r="J168" s="5">
        <v>1</v>
      </c>
      <c r="K168" s="5">
        <v>1</v>
      </c>
      <c r="L168" s="5">
        <v>1</v>
      </c>
      <c r="M168" s="5">
        <v>1</v>
      </c>
      <c r="N168" s="5">
        <v>1</v>
      </c>
      <c r="O168" s="5">
        <v>1</v>
      </c>
      <c r="P168" s="5">
        <v>1</v>
      </c>
      <c r="Q168" s="5">
        <v>1</v>
      </c>
      <c r="R168" s="5">
        <v>1</v>
      </c>
      <c r="S168" cm="1">
        <f t="array" ref="S168">GetLatitude(U168)</f>
        <v>31.587708500000002</v>
      </c>
      <c r="T168" cm="1">
        <f t="array" ref="T168">GetLongitude(U168)</f>
        <v>74.311981599999996</v>
      </c>
      <c r="U168" t="str">
        <f t="shared" si="6"/>
        <v>Roshnai Gate, Lahore, PK</v>
      </c>
      <c r="V168" t="str" cm="1">
        <f t="array" ref="V168">GetCoordinates(U168)</f>
        <v>31.5877085, 74.3119816</v>
      </c>
      <c r="W168" s="13" cm="1">
        <f t="array" ref="W168">TravelTime(A168,U168,AB168)</f>
        <v>15133</v>
      </c>
      <c r="X168" s="13">
        <f t="shared" si="7"/>
        <v>252.21666666666667</v>
      </c>
      <c r="Y168" s="13" cm="1">
        <f t="array" ref="Y168">TravelDistance(A168,U168,AB168)</f>
        <v>361480</v>
      </c>
      <c r="Z168" s="13" t="str">
        <f t="shared" si="8"/>
        <v>361.48km</v>
      </c>
      <c r="AA168" s="14" t="s">
        <v>361</v>
      </c>
      <c r="AB168" t="s">
        <v>355</v>
      </c>
    </row>
    <row r="169" spans="1:28" ht="15" x14ac:dyDescent="0.25">
      <c r="A169" s="2" t="s">
        <v>18</v>
      </c>
      <c r="B169" s="2" t="s">
        <v>190</v>
      </c>
      <c r="D169" s="3" t="s">
        <v>28</v>
      </c>
      <c r="E169" s="4" t="s">
        <v>29</v>
      </c>
      <c r="F169" s="4" t="s">
        <v>202</v>
      </c>
      <c r="G169" s="5">
        <v>1</v>
      </c>
      <c r="H169" s="5">
        <v>1</v>
      </c>
      <c r="I169" s="5">
        <v>1</v>
      </c>
      <c r="J169" s="5">
        <v>1</v>
      </c>
      <c r="K169" s="5">
        <v>1</v>
      </c>
      <c r="L169" s="5">
        <v>1</v>
      </c>
      <c r="M169" s="5">
        <v>1</v>
      </c>
      <c r="N169" s="5">
        <v>1</v>
      </c>
      <c r="O169" s="5">
        <v>1</v>
      </c>
      <c r="P169" s="5">
        <v>1</v>
      </c>
      <c r="Q169" s="5">
        <v>1</v>
      </c>
      <c r="R169" s="5">
        <v>1</v>
      </c>
      <c r="S169" cm="1">
        <f t="array" ref="S169">GetLatitude(U169)</f>
        <v>31.589645999999998</v>
      </c>
      <c r="T169" cm="1">
        <f t="array" ref="T169">GetLongitude(U169)</f>
        <v>74.311716899999993</v>
      </c>
      <c r="U169" t="str">
        <f t="shared" si="6"/>
        <v>Gurudwara Dera Sahib, Lahore, PK</v>
      </c>
      <c r="V169" t="str" cm="1">
        <f t="array" ref="V169">GetCoordinates(U169)</f>
        <v>31.5896460, 74.3117169</v>
      </c>
      <c r="W169" s="13" cm="1">
        <f t="array" ref="W169">TravelTime(A169,U169,AB169)</f>
        <v>15133</v>
      </c>
      <c r="X169" s="13">
        <f t="shared" si="7"/>
        <v>252.21666666666667</v>
      </c>
      <c r="Y169" s="13" cm="1">
        <f t="array" ref="Y169">TravelDistance(A169,U169,AB169)</f>
        <v>361480</v>
      </c>
      <c r="Z169" s="13" t="str">
        <f t="shared" si="8"/>
        <v>361.48km</v>
      </c>
      <c r="AA169" s="14" t="s">
        <v>361</v>
      </c>
      <c r="AB169" t="s">
        <v>355</v>
      </c>
    </row>
    <row r="170" spans="1:28" ht="15" x14ac:dyDescent="0.25">
      <c r="A170" s="2" t="s">
        <v>18</v>
      </c>
      <c r="B170" s="2" t="s">
        <v>190</v>
      </c>
      <c r="D170" s="3" t="s">
        <v>28</v>
      </c>
      <c r="E170" s="4" t="s">
        <v>29</v>
      </c>
      <c r="F170" s="4" t="s">
        <v>203</v>
      </c>
      <c r="G170" s="5">
        <v>1</v>
      </c>
      <c r="H170" s="5">
        <v>1</v>
      </c>
      <c r="I170" s="5">
        <v>1</v>
      </c>
      <c r="J170" s="5">
        <v>1</v>
      </c>
      <c r="K170" s="5">
        <v>1</v>
      </c>
      <c r="L170" s="5">
        <v>1</v>
      </c>
      <c r="M170" s="5">
        <v>1</v>
      </c>
      <c r="N170" s="5">
        <v>1</v>
      </c>
      <c r="O170" s="5">
        <v>1</v>
      </c>
      <c r="P170" s="5">
        <v>1</v>
      </c>
      <c r="Q170" s="5">
        <v>1</v>
      </c>
      <c r="R170" s="5">
        <v>1</v>
      </c>
      <c r="S170" cm="1">
        <f t="array" ref="S170">GetLatitude(U170)</f>
        <v>31.582113700000001</v>
      </c>
      <c r="T170" cm="1">
        <f t="array" ref="T170">GetLongitude(U170)</f>
        <v>74.326029800000001</v>
      </c>
      <c r="U170" t="str">
        <f t="shared" si="6"/>
        <v>Wazir Khan Hammam, Lahore, PK</v>
      </c>
      <c r="V170" t="str" cm="1">
        <f t="array" ref="V170">GetCoordinates(U170)</f>
        <v>31.5821137, 74.3260298</v>
      </c>
      <c r="W170" s="13" cm="1">
        <f t="array" ref="W170">TravelTime(A170,U170,AB170)</f>
        <v>15380</v>
      </c>
      <c r="X170" s="13">
        <f t="shared" si="7"/>
        <v>256.33333333333331</v>
      </c>
      <c r="Y170" s="13" cm="1">
        <f t="array" ref="Y170">TravelDistance(A170,U170,AB170)</f>
        <v>370532</v>
      </c>
      <c r="Z170" s="13" t="str">
        <f t="shared" si="8"/>
        <v>370.53km</v>
      </c>
      <c r="AA170" s="14" t="s">
        <v>361</v>
      </c>
      <c r="AB170" t="s">
        <v>355</v>
      </c>
    </row>
    <row r="171" spans="1:28" ht="15" x14ac:dyDescent="0.25">
      <c r="A171" s="2" t="s">
        <v>18</v>
      </c>
      <c r="B171" s="2" t="s">
        <v>190</v>
      </c>
      <c r="D171" s="3" t="s">
        <v>28</v>
      </c>
      <c r="E171" s="4" t="s">
        <v>29</v>
      </c>
      <c r="F171" s="4" t="s">
        <v>204</v>
      </c>
      <c r="G171" s="5">
        <v>1</v>
      </c>
      <c r="H171" s="5">
        <v>1</v>
      </c>
      <c r="I171" s="5">
        <v>1</v>
      </c>
      <c r="J171" s="5">
        <v>1</v>
      </c>
      <c r="K171" s="5">
        <v>1</v>
      </c>
      <c r="L171" s="5">
        <v>1</v>
      </c>
      <c r="M171" s="5">
        <v>1</v>
      </c>
      <c r="N171" s="5">
        <v>1</v>
      </c>
      <c r="O171" s="5">
        <v>1</v>
      </c>
      <c r="P171" s="5">
        <v>1</v>
      </c>
      <c r="Q171" s="5">
        <v>1</v>
      </c>
      <c r="R171" s="5">
        <v>1</v>
      </c>
      <c r="S171" cm="1">
        <f t="array" ref="S171">GetLatitude(U171)</f>
        <v>31.587917300000001</v>
      </c>
      <c r="T171" cm="1">
        <f t="array" ref="T171">GetLongitude(U171)</f>
        <v>74.311306200000004</v>
      </c>
      <c r="U171" t="str">
        <f t="shared" si="6"/>
        <v>Tomb of Muhammad Iqbal, Lahore, PK</v>
      </c>
      <c r="V171" t="str" cm="1">
        <f t="array" ref="V171">GetCoordinates(U171)</f>
        <v>31.5879173, 74.3113062</v>
      </c>
      <c r="W171" s="13" cm="1">
        <f t="array" ref="W171">TravelTime(A171,U171,AB171)</f>
        <v>15099</v>
      </c>
      <c r="X171" s="13">
        <f t="shared" si="7"/>
        <v>251.65</v>
      </c>
      <c r="Y171" s="13" cm="1">
        <f t="array" ref="Y171">TravelDistance(A171,U171,AB171)</f>
        <v>361376</v>
      </c>
      <c r="Z171" s="13" t="str">
        <f t="shared" si="8"/>
        <v>361.38km</v>
      </c>
      <c r="AA171" s="14" t="s">
        <v>361</v>
      </c>
      <c r="AB171" t="s">
        <v>355</v>
      </c>
    </row>
    <row r="172" spans="1:28" ht="15" x14ac:dyDescent="0.25">
      <c r="A172" s="2" t="s">
        <v>18</v>
      </c>
      <c r="B172" s="2" t="s">
        <v>190</v>
      </c>
      <c r="D172" s="3" t="s">
        <v>28</v>
      </c>
      <c r="E172" s="4" t="s">
        <v>29</v>
      </c>
      <c r="F172" s="4" t="s">
        <v>205</v>
      </c>
      <c r="G172" s="5">
        <v>1</v>
      </c>
      <c r="H172" s="5">
        <v>1</v>
      </c>
      <c r="I172" s="5">
        <v>1</v>
      </c>
      <c r="J172" s="5">
        <v>1</v>
      </c>
      <c r="K172" s="5">
        <v>1</v>
      </c>
      <c r="L172" s="5">
        <v>1</v>
      </c>
      <c r="M172" s="5">
        <v>1</v>
      </c>
      <c r="N172" s="5">
        <v>1</v>
      </c>
      <c r="O172" s="5">
        <v>1</v>
      </c>
      <c r="P172" s="5">
        <v>1</v>
      </c>
      <c r="Q172" s="5">
        <v>1</v>
      </c>
      <c r="R172" s="5">
        <v>1</v>
      </c>
      <c r="S172" cm="1">
        <f t="array" ref="S172">GetLatitude(U172)</f>
        <v>31.566147900000001</v>
      </c>
      <c r="T172" cm="1">
        <f t="array" ref="T172">GetLongitude(U172)</f>
        <v>74.313067700000005</v>
      </c>
      <c r="U172" t="str">
        <f t="shared" si="6"/>
        <v>General Post Office Lahore, Lahore, PK</v>
      </c>
      <c r="V172" t="str" cm="1">
        <f t="array" ref="V172">GetCoordinates(U172)</f>
        <v>31.5661479, 74.3130677</v>
      </c>
      <c r="W172" s="13" cm="1">
        <f t="array" ref="W172">TravelTime(A172,U172,AB172)</f>
        <v>15022</v>
      </c>
      <c r="X172" s="13">
        <f t="shared" si="7"/>
        <v>250.36666666666667</v>
      </c>
      <c r="Y172" s="13" cm="1">
        <f t="array" ref="Y172">TravelDistance(A172,U172,AB172)</f>
        <v>369057</v>
      </c>
      <c r="Z172" s="13" t="str">
        <f t="shared" si="8"/>
        <v>369.06km</v>
      </c>
      <c r="AA172" s="14" t="s">
        <v>361</v>
      </c>
      <c r="AB172" t="s">
        <v>355</v>
      </c>
    </row>
    <row r="173" spans="1:28" ht="15" x14ac:dyDescent="0.25">
      <c r="A173" s="2" t="s">
        <v>18</v>
      </c>
      <c r="B173" s="2" t="s">
        <v>190</v>
      </c>
      <c r="D173" s="3" t="s">
        <v>28</v>
      </c>
      <c r="E173" s="4" t="s">
        <v>29</v>
      </c>
      <c r="F173" s="4" t="s">
        <v>206</v>
      </c>
      <c r="G173" s="5">
        <v>1</v>
      </c>
      <c r="H173" s="5">
        <v>1</v>
      </c>
      <c r="I173" s="5">
        <v>1</v>
      </c>
      <c r="J173" s="5">
        <v>1</v>
      </c>
      <c r="K173" s="5">
        <v>1</v>
      </c>
      <c r="L173" s="5">
        <v>1</v>
      </c>
      <c r="M173" s="5">
        <v>1</v>
      </c>
      <c r="N173" s="5">
        <v>1</v>
      </c>
      <c r="O173" s="5">
        <v>1</v>
      </c>
      <c r="P173" s="5">
        <v>1</v>
      </c>
      <c r="Q173" s="5">
        <v>1</v>
      </c>
      <c r="R173" s="5">
        <v>1</v>
      </c>
      <c r="S173" cm="1">
        <f t="array" ref="S173">GetLatitude(U173)</f>
        <v>31.583204200000001</v>
      </c>
      <c r="T173" cm="1">
        <f t="array" ref="T173">GetLongitude(U173)</f>
        <v>74.323614500000005</v>
      </c>
      <c r="U173" t="str">
        <f t="shared" si="6"/>
        <v>Masjid Wazir Khan (Wazir Khan Mosque), Lahore, PK</v>
      </c>
      <c r="V173" t="str" cm="1">
        <f t="array" ref="V173">GetCoordinates(U173)</f>
        <v>31.5832042, 74.3236145</v>
      </c>
      <c r="W173" s="13" cm="1">
        <f t="array" ref="W173">TravelTime(A173,U173,AB173)</f>
        <v>15606</v>
      </c>
      <c r="X173" s="13">
        <f t="shared" si="7"/>
        <v>260.10000000000002</v>
      </c>
      <c r="Y173" s="13" cm="1">
        <f t="array" ref="Y173">TravelDistance(A173,U173,AB173)</f>
        <v>363205</v>
      </c>
      <c r="Z173" s="13" t="str">
        <f t="shared" si="8"/>
        <v>363.21km</v>
      </c>
      <c r="AA173" s="14" t="s">
        <v>361</v>
      </c>
      <c r="AB173" t="s">
        <v>355</v>
      </c>
    </row>
    <row r="174" spans="1:28" ht="15" x14ac:dyDescent="0.25">
      <c r="A174" s="2" t="s">
        <v>18</v>
      </c>
      <c r="B174" s="2" t="s">
        <v>190</v>
      </c>
      <c r="D174" s="3" t="s">
        <v>28</v>
      </c>
      <c r="E174" s="4" t="s">
        <v>29</v>
      </c>
      <c r="F174" s="4" t="s">
        <v>207</v>
      </c>
      <c r="G174" s="5">
        <v>1</v>
      </c>
      <c r="H174" s="5">
        <v>1</v>
      </c>
      <c r="I174" s="5">
        <v>1</v>
      </c>
      <c r="J174" s="5">
        <v>1</v>
      </c>
      <c r="K174" s="5">
        <v>1</v>
      </c>
      <c r="L174" s="5">
        <v>1</v>
      </c>
      <c r="M174" s="5">
        <v>1</v>
      </c>
      <c r="N174" s="5">
        <v>1</v>
      </c>
      <c r="O174" s="5">
        <v>1</v>
      </c>
      <c r="P174" s="5">
        <v>1</v>
      </c>
      <c r="Q174" s="5">
        <v>1</v>
      </c>
      <c r="R174" s="5">
        <v>1</v>
      </c>
      <c r="S174" cm="1">
        <f t="array" ref="S174">GetLatitude(U174)</f>
        <v>31.56033</v>
      </c>
      <c r="T174" cm="1">
        <f t="array" ref="T174">GetLongitude(U174)</f>
        <v>74.325090000000003</v>
      </c>
      <c r="U174" t="str">
        <f t="shared" si="6"/>
        <v>Summit Minar, Lahore, PK</v>
      </c>
      <c r="V174" t="str" cm="1">
        <f t="array" ref="V174">GetCoordinates(U174)</f>
        <v>31.5603300, 74.3250900</v>
      </c>
      <c r="W174" s="13" cm="1">
        <f t="array" ref="W174">TravelTime(A174,U174,AB174)</f>
        <v>15418</v>
      </c>
      <c r="X174" s="13">
        <f t="shared" si="7"/>
        <v>256.96666666666664</v>
      </c>
      <c r="Y174" s="13" cm="1">
        <f t="array" ref="Y174">TravelDistance(A174,U174,AB174)</f>
        <v>371222</v>
      </c>
      <c r="Z174" s="13" t="str">
        <f t="shared" si="8"/>
        <v>371.22km</v>
      </c>
      <c r="AA174" s="14" t="s">
        <v>361</v>
      </c>
      <c r="AB174" t="s">
        <v>355</v>
      </c>
    </row>
    <row r="175" spans="1:28" ht="15" x14ac:dyDescent="0.25">
      <c r="A175" s="2" t="s">
        <v>18</v>
      </c>
      <c r="B175" s="2" t="s">
        <v>190</v>
      </c>
      <c r="D175" s="3" t="s">
        <v>28</v>
      </c>
      <c r="E175" s="4" t="s">
        <v>29</v>
      </c>
      <c r="F175" s="4" t="s">
        <v>208</v>
      </c>
      <c r="G175" s="5">
        <v>1</v>
      </c>
      <c r="H175" s="5">
        <v>1</v>
      </c>
      <c r="I175" s="5">
        <v>1</v>
      </c>
      <c r="J175" s="5">
        <v>1</v>
      </c>
      <c r="K175" s="5">
        <v>1</v>
      </c>
      <c r="L175" s="5">
        <v>1</v>
      </c>
      <c r="M175" s="5">
        <v>1</v>
      </c>
      <c r="N175" s="5">
        <v>1</v>
      </c>
      <c r="O175" s="5">
        <v>1</v>
      </c>
      <c r="P175" s="5">
        <v>1</v>
      </c>
      <c r="Q175" s="5">
        <v>1</v>
      </c>
      <c r="R175" s="5">
        <v>1</v>
      </c>
      <c r="S175" cm="1">
        <f t="array" ref="S175">GetLatitude(U175)</f>
        <v>31.567397499999998</v>
      </c>
      <c r="T175" cm="1">
        <f t="array" ref="T175">GetLongitude(U175)</f>
        <v>74.300591999999995</v>
      </c>
      <c r="U175" t="str">
        <f t="shared" si="6"/>
        <v>Anarkali's Tomb, Lahore, PK</v>
      </c>
      <c r="V175" t="str" cm="1">
        <f t="array" ref="V175">GetCoordinates(U175)</f>
        <v>31.5673975, 74.3005920</v>
      </c>
      <c r="W175" s="13" cm="1">
        <f t="array" ref="W175">TravelTime(A175,U175,AB175)</f>
        <v>14945</v>
      </c>
      <c r="X175" s="13">
        <f t="shared" si="7"/>
        <v>249.08333333333334</v>
      </c>
      <c r="Y175" s="13" cm="1">
        <f t="array" ref="Y175">TravelDistance(A175,U175,AB175)</f>
        <v>368140</v>
      </c>
      <c r="Z175" s="13" t="str">
        <f t="shared" si="8"/>
        <v>368.14km</v>
      </c>
      <c r="AA175" s="14" t="s">
        <v>361</v>
      </c>
      <c r="AB175" t="s">
        <v>355</v>
      </c>
    </row>
    <row r="176" spans="1:28" ht="15" x14ac:dyDescent="0.25">
      <c r="A176" s="2" t="s">
        <v>18</v>
      </c>
      <c r="B176" s="2" t="s">
        <v>190</v>
      </c>
      <c r="D176" s="3" t="s">
        <v>31</v>
      </c>
      <c r="E176" s="4" t="s">
        <v>29</v>
      </c>
      <c r="F176" s="4" t="s">
        <v>209</v>
      </c>
      <c r="G176" s="5">
        <v>1</v>
      </c>
      <c r="H176" s="5">
        <v>1</v>
      </c>
      <c r="I176" s="5">
        <v>1</v>
      </c>
      <c r="J176" s="5">
        <v>1</v>
      </c>
      <c r="K176" s="5">
        <v>1</v>
      </c>
      <c r="L176" s="5">
        <v>1</v>
      </c>
      <c r="M176" s="5">
        <v>1</v>
      </c>
      <c r="N176" s="5">
        <v>1</v>
      </c>
      <c r="O176" s="5">
        <v>1</v>
      </c>
      <c r="P176" s="5">
        <v>1</v>
      </c>
      <c r="Q176" s="5">
        <v>1</v>
      </c>
      <c r="R176" s="5">
        <v>1</v>
      </c>
      <c r="S176" cm="1">
        <f t="array" ref="S176">GetLatitude(U176)</f>
        <v>31.355819799999999</v>
      </c>
      <c r="T176" cm="1">
        <f t="array" ref="T176">GetLongitude(U176)</f>
        <v>74.184701899999993</v>
      </c>
      <c r="U176" t="str">
        <f t="shared" si="6"/>
        <v>Eiffel Tower Replica, Lahore, PK</v>
      </c>
      <c r="V176" t="str" cm="1">
        <f t="array" ref="V176">GetCoordinates(U176)</f>
        <v>31.3558198, 74.1847019</v>
      </c>
      <c r="W176" s="13" cm="1">
        <f t="array" ref="W176">TravelTime(A176,U176,AB176)</f>
        <v>15959</v>
      </c>
      <c r="X176" s="13">
        <f t="shared" si="7"/>
        <v>265.98333333333335</v>
      </c>
      <c r="Y176" s="13" cm="1">
        <f t="array" ref="Y176">TravelDistance(A176,U176,AB176)</f>
        <v>386210</v>
      </c>
      <c r="Z176" s="13" t="str">
        <f t="shared" si="8"/>
        <v>386.21km</v>
      </c>
      <c r="AA176" s="14" t="s">
        <v>361</v>
      </c>
      <c r="AB176" t="s">
        <v>355</v>
      </c>
    </row>
    <row r="177" spans="1:28" ht="15" x14ac:dyDescent="0.25">
      <c r="A177" s="2" t="s">
        <v>18</v>
      </c>
      <c r="B177" s="2" t="s">
        <v>190</v>
      </c>
      <c r="D177" s="3" t="s">
        <v>28</v>
      </c>
      <c r="E177" s="4" t="s">
        <v>29</v>
      </c>
      <c r="F177" s="4" t="s">
        <v>210</v>
      </c>
      <c r="G177" s="5">
        <v>1</v>
      </c>
      <c r="H177" s="5">
        <v>1</v>
      </c>
      <c r="I177" s="5">
        <v>1</v>
      </c>
      <c r="J177" s="5">
        <v>1</v>
      </c>
      <c r="K177" s="5">
        <v>1</v>
      </c>
      <c r="L177" s="5">
        <v>1</v>
      </c>
      <c r="M177" s="5">
        <v>1</v>
      </c>
      <c r="N177" s="5">
        <v>1</v>
      </c>
      <c r="O177" s="5">
        <v>1</v>
      </c>
      <c r="P177" s="5">
        <v>1</v>
      </c>
      <c r="Q177" s="5">
        <v>1</v>
      </c>
      <c r="R177" s="5">
        <v>1</v>
      </c>
      <c r="S177" cm="1">
        <f t="array" ref="S177">GetLatitude(U177)</f>
        <v>31.5871529</v>
      </c>
      <c r="T177" cm="1">
        <f t="array" ref="T177">GetLongitude(U177)</f>
        <v>74.317779299999998</v>
      </c>
      <c r="U177" t="str">
        <f t="shared" si="6"/>
        <v>Mosque of Mariyam Zamani Begum, Lahore, PK</v>
      </c>
      <c r="V177" t="str" cm="1">
        <f t="array" ref="V177">GetCoordinates(U177)</f>
        <v>31.5871529, 74.3177793</v>
      </c>
      <c r="W177" s="13" cm="1">
        <f t="array" ref="W177">TravelTime(A177,U177,AB177)</f>
        <v>15251</v>
      </c>
      <c r="X177" s="13">
        <f t="shared" si="7"/>
        <v>254.18333333333334</v>
      </c>
      <c r="Y177" s="13" cm="1">
        <f t="array" ref="Y177">TravelDistance(A177,U177,AB177)</f>
        <v>361945</v>
      </c>
      <c r="Z177" s="13" t="str">
        <f t="shared" si="8"/>
        <v>361.95km</v>
      </c>
      <c r="AA177" s="14" t="s">
        <v>361</v>
      </c>
      <c r="AB177" t="s">
        <v>355</v>
      </c>
    </row>
    <row r="178" spans="1:28" ht="15" x14ac:dyDescent="0.25">
      <c r="A178" s="2" t="s">
        <v>18</v>
      </c>
      <c r="B178" s="2" t="s">
        <v>190</v>
      </c>
      <c r="D178" s="3" t="s">
        <v>28</v>
      </c>
      <c r="E178" s="4" t="s">
        <v>29</v>
      </c>
      <c r="F178" s="4" t="s">
        <v>211</v>
      </c>
      <c r="G178" s="5">
        <v>1</v>
      </c>
      <c r="H178" s="5">
        <v>1</v>
      </c>
      <c r="I178" s="5">
        <v>1</v>
      </c>
      <c r="J178" s="5">
        <v>1</v>
      </c>
      <c r="K178" s="5">
        <v>1</v>
      </c>
      <c r="L178" s="5">
        <v>1</v>
      </c>
      <c r="M178" s="5">
        <v>1</v>
      </c>
      <c r="N178" s="5">
        <v>1</v>
      </c>
      <c r="O178" s="5">
        <v>1</v>
      </c>
      <c r="P178" s="5">
        <v>1</v>
      </c>
      <c r="Q178" s="5">
        <v>1</v>
      </c>
      <c r="R178" s="5">
        <v>1</v>
      </c>
      <c r="S178" cm="1">
        <f t="array" ref="S178">GetLatitude(U178)</f>
        <v>31.582164899999999</v>
      </c>
      <c r="T178" cm="1">
        <f t="array" ref="T178">GetLongitude(U178)</f>
        <v>74.326416399999999</v>
      </c>
      <c r="U178" t="str">
        <f t="shared" si="6"/>
        <v>Delhi Gate, Lahore, PK</v>
      </c>
      <c r="V178" t="str" cm="1">
        <f t="array" ref="V178">GetCoordinates(U178)</f>
        <v>31.5821649, 74.3264164</v>
      </c>
      <c r="W178" s="13" cm="1">
        <f t="array" ref="W178">TravelTime(A178,U178,AB178)</f>
        <v>15446</v>
      </c>
      <c r="X178" s="13">
        <f t="shared" si="7"/>
        <v>257.43333333333334</v>
      </c>
      <c r="Y178" s="13" cm="1">
        <f t="array" ref="Y178">TravelDistance(A178,U178,AB178)</f>
        <v>370865</v>
      </c>
      <c r="Z178" s="13" t="str">
        <f t="shared" si="8"/>
        <v>370.87km</v>
      </c>
      <c r="AA178" s="14" t="s">
        <v>361</v>
      </c>
      <c r="AB178" t="s">
        <v>355</v>
      </c>
    </row>
    <row r="179" spans="1:28" ht="15" x14ac:dyDescent="0.25">
      <c r="A179" s="2" t="s">
        <v>18</v>
      </c>
      <c r="B179" s="2" t="s">
        <v>190</v>
      </c>
      <c r="D179" s="3" t="s">
        <v>28</v>
      </c>
      <c r="E179" s="4" t="s">
        <v>29</v>
      </c>
      <c r="F179" s="4" t="s">
        <v>212</v>
      </c>
      <c r="G179" s="5">
        <v>1</v>
      </c>
      <c r="H179" s="5">
        <v>1</v>
      </c>
      <c r="I179" s="5">
        <v>1</v>
      </c>
      <c r="J179" s="5">
        <v>1</v>
      </c>
      <c r="K179" s="5">
        <v>1</v>
      </c>
      <c r="L179" s="5">
        <v>1</v>
      </c>
      <c r="M179" s="5">
        <v>1</v>
      </c>
      <c r="N179" s="5">
        <v>1</v>
      </c>
      <c r="O179" s="5">
        <v>1</v>
      </c>
      <c r="P179" s="5">
        <v>1</v>
      </c>
      <c r="Q179" s="5">
        <v>1</v>
      </c>
      <c r="R179" s="5">
        <v>1</v>
      </c>
      <c r="S179" cm="1">
        <f t="array" ref="S179">GetLatitude(U179)</f>
        <v>31.528042200000002</v>
      </c>
      <c r="T179" cm="1">
        <f t="array" ref="T179">GetLongitude(U179)</f>
        <v>74.328961699999994</v>
      </c>
      <c r="U179" t="str">
        <f t="shared" si="6"/>
        <v>Tomb of Shah Jamal, Lahore, PK</v>
      </c>
      <c r="V179" t="str" cm="1">
        <f t="array" ref="V179">GetCoordinates(U179)</f>
        <v>31.5280422, 74.3289617</v>
      </c>
      <c r="W179" s="13" cm="1">
        <f t="array" ref="W179">TravelTime(A179,U179,AB179)</f>
        <v>15199</v>
      </c>
      <c r="X179" s="13">
        <f t="shared" si="7"/>
        <v>253.31666666666666</v>
      </c>
      <c r="Y179" s="13" cm="1">
        <f t="array" ref="Y179">TravelDistance(A179,U179,AB179)</f>
        <v>370753</v>
      </c>
      <c r="Z179" s="13" t="str">
        <f t="shared" si="8"/>
        <v>370.75km</v>
      </c>
      <c r="AA179" s="14" t="s">
        <v>361</v>
      </c>
      <c r="AB179" t="s">
        <v>355</v>
      </c>
    </row>
    <row r="180" spans="1:28" ht="15" x14ac:dyDescent="0.25">
      <c r="A180" s="2" t="s">
        <v>18</v>
      </c>
      <c r="B180" s="2" t="s">
        <v>190</v>
      </c>
      <c r="D180" s="3" t="s">
        <v>28</v>
      </c>
      <c r="E180" s="4" t="s">
        <v>29</v>
      </c>
      <c r="F180" s="4" t="s">
        <v>213</v>
      </c>
      <c r="G180" s="5">
        <v>1</v>
      </c>
      <c r="H180" s="5">
        <v>1</v>
      </c>
      <c r="I180" s="5">
        <v>1</v>
      </c>
      <c r="J180" s="5">
        <v>1</v>
      </c>
      <c r="K180" s="5">
        <v>1</v>
      </c>
      <c r="L180" s="5">
        <v>1</v>
      </c>
      <c r="M180" s="5">
        <v>1</v>
      </c>
      <c r="N180" s="5">
        <v>1</v>
      </c>
      <c r="O180" s="5">
        <v>1</v>
      </c>
      <c r="P180" s="5">
        <v>1</v>
      </c>
      <c r="Q180" s="5">
        <v>1</v>
      </c>
      <c r="R180" s="5">
        <v>1</v>
      </c>
      <c r="S180" cm="1">
        <f t="array" ref="S180">GetLatitude(U180)</f>
        <v>31.554004899999999</v>
      </c>
      <c r="T180" cm="1">
        <f t="array" ref="T180">GetLongitude(U180)</f>
        <v>74.304842699999995</v>
      </c>
      <c r="U180" t="str">
        <f t="shared" si="6"/>
        <v>Chauburji, Lahore, PK</v>
      </c>
      <c r="V180" t="str" cm="1">
        <f t="array" ref="V180">GetCoordinates(U180)</f>
        <v>31.5540049, 74.3048427</v>
      </c>
      <c r="W180" s="13" cm="1">
        <f t="array" ref="W180">TravelTime(A180,U180,AB180)</f>
        <v>14641</v>
      </c>
      <c r="X180" s="13">
        <f t="shared" si="7"/>
        <v>244.01666666666668</v>
      </c>
      <c r="Y180" s="13" cm="1">
        <f t="array" ref="Y180">TravelDistance(A180,U180,AB180)</f>
        <v>366576</v>
      </c>
      <c r="Z180" s="13" t="str">
        <f t="shared" si="8"/>
        <v>366.58km</v>
      </c>
      <c r="AA180" s="14" t="s">
        <v>361</v>
      </c>
      <c r="AB180" t="s">
        <v>355</v>
      </c>
    </row>
    <row r="181" spans="1:28" ht="15" x14ac:dyDescent="0.25">
      <c r="A181" s="2" t="s">
        <v>18</v>
      </c>
      <c r="B181" s="2" t="s">
        <v>190</v>
      </c>
      <c r="D181" s="3" t="s">
        <v>28</v>
      </c>
      <c r="E181" s="4" t="s">
        <v>29</v>
      </c>
      <c r="F181" s="4" t="s">
        <v>214</v>
      </c>
      <c r="G181" s="5">
        <v>1</v>
      </c>
      <c r="H181" s="5">
        <v>1</v>
      </c>
      <c r="I181" s="5">
        <v>1</v>
      </c>
      <c r="J181" s="5">
        <v>1</v>
      </c>
      <c r="K181" s="5">
        <v>1</v>
      </c>
      <c r="L181" s="5">
        <v>1</v>
      </c>
      <c r="M181" s="5">
        <v>1</v>
      </c>
      <c r="N181" s="5">
        <v>1</v>
      </c>
      <c r="O181" s="5">
        <v>1</v>
      </c>
      <c r="P181" s="5">
        <v>1</v>
      </c>
      <c r="Q181" s="5">
        <v>1</v>
      </c>
      <c r="R181" s="5">
        <v>1</v>
      </c>
      <c r="S181" cm="1">
        <f t="array" ref="S181">GetLatitude(U181)</f>
        <v>31.578871899999999</v>
      </c>
      <c r="T181" cm="1">
        <f t="array" ref="T181">GetLongitude(U181)</f>
        <v>74.304385100000005</v>
      </c>
      <c r="U181" t="str">
        <f t="shared" si="6"/>
        <v>Ali Hajvery's Tomb, Lahore, PK</v>
      </c>
      <c r="V181" t="str" cm="1">
        <f t="array" ref="V181">GetCoordinates(U181)</f>
        <v>31.5788719, 74.3043851</v>
      </c>
      <c r="W181" s="13" cm="1">
        <f t="array" ref="W181">TravelTime(A181,U181,AB181)</f>
        <v>14754</v>
      </c>
      <c r="X181" s="13">
        <f t="shared" si="7"/>
        <v>245.9</v>
      </c>
      <c r="Y181" s="13" cm="1">
        <f t="array" ref="Y181">TravelDistance(A181,U181,AB181)</f>
        <v>367954</v>
      </c>
      <c r="Z181" s="13" t="str">
        <f t="shared" si="8"/>
        <v>367.95km</v>
      </c>
      <c r="AA181" s="14" t="s">
        <v>361</v>
      </c>
      <c r="AB181" t="s">
        <v>355</v>
      </c>
    </row>
    <row r="182" spans="1:28" ht="15" x14ac:dyDescent="0.25">
      <c r="A182" s="2" t="s">
        <v>18</v>
      </c>
      <c r="B182" s="2" t="s">
        <v>190</v>
      </c>
      <c r="D182" s="3" t="s">
        <v>28</v>
      </c>
      <c r="E182" s="4" t="s">
        <v>29</v>
      </c>
      <c r="F182" s="4" t="s">
        <v>215</v>
      </c>
      <c r="G182" s="5">
        <v>1</v>
      </c>
      <c r="H182" s="5">
        <v>1</v>
      </c>
      <c r="I182" s="5">
        <v>1</v>
      </c>
      <c r="J182" s="5">
        <v>1</v>
      </c>
      <c r="K182" s="5">
        <v>1</v>
      </c>
      <c r="L182" s="5">
        <v>1</v>
      </c>
      <c r="M182" s="5">
        <v>1</v>
      </c>
      <c r="N182" s="5">
        <v>1</v>
      </c>
      <c r="O182" s="5">
        <v>1</v>
      </c>
      <c r="P182" s="5">
        <v>1</v>
      </c>
      <c r="Q182" s="5">
        <v>1</v>
      </c>
      <c r="R182" s="5">
        <v>1</v>
      </c>
      <c r="S182" cm="1">
        <f t="array" ref="S182">GetLatitude(U182)</f>
        <v>31.57741</v>
      </c>
      <c r="T182" cm="1">
        <f t="array" ref="T182">GetLongitude(U182)</f>
        <v>74.313429999999997</v>
      </c>
      <c r="U182" t="str">
        <f t="shared" si="6"/>
        <v>Lohari Gate, Lahore, PK</v>
      </c>
      <c r="V182" t="str" cm="1">
        <f t="array" ref="V182">GetCoordinates(U182)</f>
        <v>31.5774100, 74.3134300</v>
      </c>
      <c r="W182" s="13" cm="1">
        <f t="array" ref="W182">TravelTime(A182,U182,AB182)</f>
        <v>14930</v>
      </c>
      <c r="X182" s="13">
        <f t="shared" si="7"/>
        <v>248.83333333333334</v>
      </c>
      <c r="Y182" s="13" cm="1">
        <f t="array" ref="Y182">TravelDistance(A182,U182,AB182)</f>
        <v>368759</v>
      </c>
      <c r="Z182" s="13" t="str">
        <f t="shared" si="8"/>
        <v>368.76km</v>
      </c>
      <c r="AA182" s="14" t="s">
        <v>361</v>
      </c>
      <c r="AB182" t="s">
        <v>355</v>
      </c>
    </row>
    <row r="183" spans="1:28" ht="15" x14ac:dyDescent="0.25">
      <c r="A183" s="2" t="s">
        <v>18</v>
      </c>
      <c r="B183" s="2" t="s">
        <v>190</v>
      </c>
      <c r="D183" s="3" t="s">
        <v>39</v>
      </c>
      <c r="E183" s="4" t="s">
        <v>216</v>
      </c>
      <c r="F183" s="4" t="s">
        <v>217</v>
      </c>
      <c r="G183" s="5">
        <v>1</v>
      </c>
      <c r="H183" s="5">
        <v>1</v>
      </c>
      <c r="I183" s="5">
        <v>1</v>
      </c>
      <c r="J183" s="5">
        <v>1</v>
      </c>
      <c r="K183" s="5">
        <v>1</v>
      </c>
      <c r="L183" s="5">
        <v>1</v>
      </c>
      <c r="M183" s="5">
        <v>1</v>
      </c>
      <c r="N183" s="5">
        <v>1</v>
      </c>
      <c r="O183" s="5">
        <v>1</v>
      </c>
      <c r="P183" s="5">
        <v>1</v>
      </c>
      <c r="Q183" s="5">
        <v>1</v>
      </c>
      <c r="R183" s="5">
        <v>1</v>
      </c>
      <c r="S183" cm="1">
        <f t="array" ref="S183">GetLatitude(U183)</f>
        <v>31.565973199999998</v>
      </c>
      <c r="T183" cm="1">
        <f t="array" ref="T183">GetLongitude(U183)</f>
        <v>74.309266399999998</v>
      </c>
      <c r="U183" t="str">
        <f t="shared" si="6"/>
        <v>Food Street Taxali, Lahore, PK</v>
      </c>
      <c r="V183" t="str" cm="1">
        <f t="array" ref="V183">GetCoordinates(U183)</f>
        <v>31.5659732, 74.3092664</v>
      </c>
      <c r="W183" s="13" cm="1">
        <f t="array" ref="W183">TravelTime(A183,U183,AB183)</f>
        <v>14871</v>
      </c>
      <c r="X183" s="13">
        <f t="shared" si="7"/>
        <v>247.85</v>
      </c>
      <c r="Y183" s="13" cm="1">
        <f t="array" ref="Y183">TravelDistance(A183,U183,AB183)</f>
        <v>367786</v>
      </c>
      <c r="Z183" s="13" t="str">
        <f t="shared" si="8"/>
        <v>367.79km</v>
      </c>
      <c r="AA183" s="14" t="s">
        <v>361</v>
      </c>
      <c r="AB183" t="s">
        <v>355</v>
      </c>
    </row>
    <row r="184" spans="1:28" ht="15" x14ac:dyDescent="0.25">
      <c r="A184" s="2" t="s">
        <v>18</v>
      </c>
      <c r="B184" s="2" t="s">
        <v>218</v>
      </c>
      <c r="D184" s="3" t="s">
        <v>52</v>
      </c>
      <c r="E184" s="4" t="s">
        <v>29</v>
      </c>
      <c r="F184" s="4" t="s">
        <v>219</v>
      </c>
      <c r="G184" s="5">
        <v>1</v>
      </c>
      <c r="H184" s="5">
        <v>1</v>
      </c>
      <c r="I184" s="5">
        <v>1</v>
      </c>
      <c r="J184" s="5">
        <v>1</v>
      </c>
      <c r="K184" s="5">
        <v>1</v>
      </c>
      <c r="L184" s="5">
        <v>1</v>
      </c>
      <c r="M184" s="5">
        <v>1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cm="1">
        <f t="array" ref="S184">GetLatitude(U184)</f>
        <v>34.287572099999998</v>
      </c>
      <c r="T184" cm="1">
        <f t="array" ref="T184">GetLongitude(U184)</f>
        <v>71.934206099999997</v>
      </c>
      <c r="U184" t="str">
        <f t="shared" si="6"/>
        <v>Takht-i-Bahi, Mardan, PK</v>
      </c>
      <c r="V184" t="str" cm="1">
        <f t="array" ref="V184">GetCoordinates(U184)</f>
        <v>34.2875721, 71.9342061</v>
      </c>
      <c r="W184" s="13" cm="1">
        <f t="array" ref="W184">TravelTime(A184,U184,AB184)</f>
        <v>7890</v>
      </c>
      <c r="X184" s="13">
        <f t="shared" si="7"/>
        <v>131.5</v>
      </c>
      <c r="Y184" s="13" cm="1">
        <f t="array" ref="Y184">TravelDistance(A184,U184,AB184)</f>
        <v>156000</v>
      </c>
      <c r="Z184" s="13" t="str">
        <f t="shared" si="8"/>
        <v>156km</v>
      </c>
      <c r="AA184" s="14" t="s">
        <v>361</v>
      </c>
      <c r="AB184" t="s">
        <v>355</v>
      </c>
    </row>
    <row r="185" spans="1:28" ht="15" x14ac:dyDescent="0.25">
      <c r="A185" s="2" t="s">
        <v>18</v>
      </c>
      <c r="B185" s="2" t="s">
        <v>220</v>
      </c>
      <c r="D185" s="3" t="s">
        <v>28</v>
      </c>
      <c r="E185" s="4" t="s">
        <v>29</v>
      </c>
      <c r="F185" s="4" t="s">
        <v>221</v>
      </c>
      <c r="G185" s="5">
        <v>0</v>
      </c>
      <c r="H185" s="5">
        <v>1</v>
      </c>
      <c r="I185" s="5">
        <v>1</v>
      </c>
      <c r="J185" s="5">
        <v>1</v>
      </c>
      <c r="K185" s="5">
        <v>1</v>
      </c>
      <c r="L185" s="5">
        <v>1</v>
      </c>
      <c r="M185" s="5">
        <v>1</v>
      </c>
      <c r="N185" s="5">
        <v>1</v>
      </c>
      <c r="O185" s="5">
        <v>1</v>
      </c>
      <c r="P185" s="5">
        <v>1</v>
      </c>
      <c r="Q185" s="5">
        <v>1</v>
      </c>
      <c r="R185" s="5">
        <v>1</v>
      </c>
      <c r="S185" cm="1">
        <f t="array" ref="S185">GetLatitude(U185)</f>
        <v>30.199127300000001</v>
      </c>
      <c r="T185" cm="1">
        <f t="array" ref="T185">GetLongitude(U185)</f>
        <v>71.471737000000005</v>
      </c>
      <c r="U185" t="str">
        <f t="shared" si="6"/>
        <v>Tomb of Bahauddin Zakariya, Multan, PK</v>
      </c>
      <c r="V185" t="str" cm="1">
        <f t="array" ref="V185">GetCoordinates(U185)</f>
        <v>30.1991273, 71.4717370</v>
      </c>
      <c r="W185" s="13" cm="1">
        <f t="array" ref="W185">TravelTime(A185,U185,AB185)</f>
        <v>21350</v>
      </c>
      <c r="X185" s="13">
        <f t="shared" si="7"/>
        <v>355.83333333333331</v>
      </c>
      <c r="Y185" s="13" cm="1">
        <f t="array" ref="Y185">TravelDistance(A185,U185,AB185)</f>
        <v>544278</v>
      </c>
      <c r="Z185" s="13" t="str">
        <f t="shared" si="8"/>
        <v>544.28km</v>
      </c>
      <c r="AA185" s="14" t="s">
        <v>361</v>
      </c>
      <c r="AB185" t="s">
        <v>355</v>
      </c>
    </row>
    <row r="186" spans="1:28" ht="15" x14ac:dyDescent="0.25">
      <c r="A186" s="2" t="s">
        <v>18</v>
      </c>
      <c r="B186" s="2" t="s">
        <v>220</v>
      </c>
      <c r="D186" s="3" t="s">
        <v>45</v>
      </c>
      <c r="E186" s="4" t="s">
        <v>29</v>
      </c>
      <c r="F186" s="4" t="s">
        <v>222</v>
      </c>
      <c r="G186" s="5">
        <v>0</v>
      </c>
      <c r="H186" s="5">
        <v>1</v>
      </c>
      <c r="I186" s="5">
        <v>1</v>
      </c>
      <c r="J186" s="5">
        <v>1</v>
      </c>
      <c r="K186" s="5">
        <v>1</v>
      </c>
      <c r="L186" s="5">
        <v>1</v>
      </c>
      <c r="M186" s="5">
        <v>1</v>
      </c>
      <c r="N186" s="5">
        <v>1</v>
      </c>
      <c r="O186" s="5">
        <v>1</v>
      </c>
      <c r="P186" s="5">
        <v>1</v>
      </c>
      <c r="Q186" s="5">
        <v>1</v>
      </c>
      <c r="R186" s="5">
        <v>1</v>
      </c>
      <c r="S186" cm="1">
        <f t="array" ref="S186">GetLatitude(U186)</f>
        <v>30.2036093</v>
      </c>
      <c r="T186" cm="1">
        <f t="array" ref="T186">GetLongitude(U186)</f>
        <v>71.452156000000002</v>
      </c>
      <c r="U186" t="str">
        <f t="shared" si="6"/>
        <v>Multan Arts Council, Multan, PK</v>
      </c>
      <c r="V186" t="str" cm="1">
        <f t="array" ref="V186">GetCoordinates(U186)</f>
        <v>30.2036093, 71.4521560</v>
      </c>
      <c r="W186" s="13" cm="1">
        <f t="array" ref="W186">TravelTime(A186,U186,AB186)</f>
        <v>21384</v>
      </c>
      <c r="X186" s="13">
        <f t="shared" si="7"/>
        <v>356.4</v>
      </c>
      <c r="Y186" s="13" cm="1">
        <f t="array" ref="Y186">TravelDistance(A186,U186,AB186)</f>
        <v>537732</v>
      </c>
      <c r="Z186" s="13" t="str">
        <f t="shared" si="8"/>
        <v>537.73km</v>
      </c>
      <c r="AA186" s="14" t="s">
        <v>361</v>
      </c>
      <c r="AB186" t="s">
        <v>355</v>
      </c>
    </row>
    <row r="187" spans="1:28" ht="15" x14ac:dyDescent="0.25">
      <c r="A187" s="2" t="s">
        <v>18</v>
      </c>
      <c r="B187" s="2" t="s">
        <v>220</v>
      </c>
      <c r="D187" s="3" t="s">
        <v>31</v>
      </c>
      <c r="E187" s="4" t="s">
        <v>21</v>
      </c>
      <c r="F187" s="4" t="s">
        <v>223</v>
      </c>
      <c r="G187" s="5">
        <v>0</v>
      </c>
      <c r="H187" s="5">
        <v>1</v>
      </c>
      <c r="I187" s="5">
        <v>1</v>
      </c>
      <c r="J187" s="5">
        <v>1</v>
      </c>
      <c r="K187" s="5">
        <v>1</v>
      </c>
      <c r="L187" s="5">
        <v>1</v>
      </c>
      <c r="M187" s="5">
        <v>1</v>
      </c>
      <c r="N187" s="5">
        <v>1</v>
      </c>
      <c r="O187" s="5">
        <v>1</v>
      </c>
      <c r="P187" s="5">
        <v>1</v>
      </c>
      <c r="Q187" s="5">
        <v>1</v>
      </c>
      <c r="R187" s="5">
        <v>1</v>
      </c>
      <c r="S187" cm="1">
        <f t="array" ref="S187">GetLatitude(U187)</f>
        <v>30.182514600000001</v>
      </c>
      <c r="T187" cm="1">
        <f t="array" ref="T187">GetLongitude(U187)</f>
        <v>71.422144000000003</v>
      </c>
      <c r="U187" t="str">
        <f t="shared" si="6"/>
        <v>Cantonment Garden, Multan, PK</v>
      </c>
      <c r="V187" t="str" cm="1">
        <f t="array" ref="V187">GetCoordinates(U187)</f>
        <v>30.1825146, 71.4221440</v>
      </c>
      <c r="W187" s="13" cm="1">
        <f t="array" ref="W187">TravelTime(A187,U187,AB187)</f>
        <v>21943</v>
      </c>
      <c r="X187" s="13">
        <f t="shared" si="7"/>
        <v>365.71666666666664</v>
      </c>
      <c r="Y187" s="13" cm="1">
        <f t="array" ref="Y187">TravelDistance(A187,U187,AB187)</f>
        <v>563927</v>
      </c>
      <c r="Z187" s="13" t="str">
        <f t="shared" si="8"/>
        <v>563.93km</v>
      </c>
      <c r="AA187" s="14" t="s">
        <v>361</v>
      </c>
      <c r="AB187" t="s">
        <v>355</v>
      </c>
    </row>
    <row r="188" spans="1:28" ht="15" x14ac:dyDescent="0.25">
      <c r="A188" s="2" t="s">
        <v>18</v>
      </c>
      <c r="B188" s="2" t="s">
        <v>220</v>
      </c>
      <c r="D188" s="3" t="s">
        <v>28</v>
      </c>
      <c r="E188" s="4" t="s">
        <v>29</v>
      </c>
      <c r="F188" s="4" t="s">
        <v>224</v>
      </c>
      <c r="G188" s="5">
        <v>0</v>
      </c>
      <c r="H188" s="5">
        <v>1</v>
      </c>
      <c r="I188" s="5">
        <v>1</v>
      </c>
      <c r="J188" s="5">
        <v>1</v>
      </c>
      <c r="K188" s="5">
        <v>1</v>
      </c>
      <c r="L188" s="5">
        <v>1</v>
      </c>
      <c r="M188" s="5">
        <v>1</v>
      </c>
      <c r="N188" s="5">
        <v>1</v>
      </c>
      <c r="O188" s="5">
        <v>1</v>
      </c>
      <c r="P188" s="5">
        <v>1</v>
      </c>
      <c r="Q188" s="5">
        <v>1</v>
      </c>
      <c r="R188" s="5">
        <v>1</v>
      </c>
      <c r="S188" cm="1">
        <f t="array" ref="S188">GetLatitude(U188)</f>
        <v>30.1793607</v>
      </c>
      <c r="T188" cm="1">
        <f t="array" ref="T188">GetLongitude(U188)</f>
        <v>71.460292600000002</v>
      </c>
      <c r="U188" t="str">
        <f t="shared" si="6"/>
        <v>Shrine Khawaja Awais Kagha, Multan, PK</v>
      </c>
      <c r="V188" t="str" cm="1">
        <f t="array" ref="V188">GetCoordinates(U188)</f>
        <v>30.1793607, 71.4602926</v>
      </c>
      <c r="W188" s="13" cm="1">
        <f t="array" ref="W188">TravelTime(A188,U188,AB188)</f>
        <v>21501</v>
      </c>
      <c r="X188" s="13">
        <f t="shared" si="7"/>
        <v>358.35</v>
      </c>
      <c r="Y188" s="13" cm="1">
        <f t="array" ref="Y188">TravelDistance(A188,U188,AB188)</f>
        <v>543859</v>
      </c>
      <c r="Z188" s="13" t="str">
        <f t="shared" si="8"/>
        <v>543.86km</v>
      </c>
      <c r="AA188" s="14" t="s">
        <v>361</v>
      </c>
      <c r="AB188" t="s">
        <v>355</v>
      </c>
    </row>
    <row r="189" spans="1:28" ht="15" x14ac:dyDescent="0.25">
      <c r="A189" s="2" t="s">
        <v>18</v>
      </c>
      <c r="B189" s="2" t="s">
        <v>220</v>
      </c>
      <c r="D189" s="3" t="s">
        <v>31</v>
      </c>
      <c r="E189" s="4" t="s">
        <v>21</v>
      </c>
      <c r="F189" s="4" t="s">
        <v>225</v>
      </c>
      <c r="G189" s="5">
        <v>0</v>
      </c>
      <c r="H189" s="5">
        <v>1</v>
      </c>
      <c r="I189" s="5">
        <v>1</v>
      </c>
      <c r="J189" s="5">
        <v>1</v>
      </c>
      <c r="K189" s="5">
        <v>1</v>
      </c>
      <c r="L189" s="5">
        <v>1</v>
      </c>
      <c r="M189" s="5">
        <v>1</v>
      </c>
      <c r="N189" s="5">
        <v>1</v>
      </c>
      <c r="O189" s="5">
        <v>1</v>
      </c>
      <c r="P189" s="5">
        <v>1</v>
      </c>
      <c r="Q189" s="5">
        <v>1</v>
      </c>
      <c r="R189" s="5">
        <v>1</v>
      </c>
      <c r="S189" cm="1">
        <f t="array" ref="S189">GetLatitude(U189)</f>
        <v>30.182072999999999</v>
      </c>
      <c r="T189" cm="1">
        <f t="array" ref="T189">GetLongitude(U189)</f>
        <v>71.418526</v>
      </c>
      <c r="U189" t="str">
        <f t="shared" si="6"/>
        <v>CSD Park, Multan, PK</v>
      </c>
      <c r="V189" t="str" cm="1">
        <f t="array" ref="V189">GetCoordinates(U189)</f>
        <v>30.1820730, 71.4185260</v>
      </c>
      <c r="W189" s="13" cm="1">
        <f t="array" ref="W189">TravelTime(A189,U189,AB189)</f>
        <v>21897</v>
      </c>
      <c r="X189" s="13">
        <f t="shared" si="7"/>
        <v>364.95</v>
      </c>
      <c r="Y189" s="13" cm="1">
        <f t="array" ref="Y189">TravelDistance(A189,U189,AB189)</f>
        <v>563776</v>
      </c>
      <c r="Z189" s="13" t="str">
        <f t="shared" si="8"/>
        <v>563.78km</v>
      </c>
      <c r="AA189" s="14" t="s">
        <v>361</v>
      </c>
      <c r="AB189" t="s">
        <v>355</v>
      </c>
    </row>
    <row r="190" spans="1:28" ht="15" x14ac:dyDescent="0.25">
      <c r="A190" s="2" t="s">
        <v>18</v>
      </c>
      <c r="B190" s="2" t="s">
        <v>220</v>
      </c>
      <c r="D190" s="3" t="s">
        <v>28</v>
      </c>
      <c r="E190" s="4" t="s">
        <v>29</v>
      </c>
      <c r="F190" s="4" t="s">
        <v>226</v>
      </c>
      <c r="G190" s="5">
        <v>0</v>
      </c>
      <c r="H190" s="5">
        <v>1</v>
      </c>
      <c r="I190" s="5">
        <v>1</v>
      </c>
      <c r="J190" s="5">
        <v>1</v>
      </c>
      <c r="K190" s="5">
        <v>1</v>
      </c>
      <c r="L190" s="5">
        <v>1</v>
      </c>
      <c r="M190" s="5">
        <v>1</v>
      </c>
      <c r="N190" s="5">
        <v>1</v>
      </c>
      <c r="O190" s="5">
        <v>1</v>
      </c>
      <c r="P190" s="5">
        <v>1</v>
      </c>
      <c r="Q190" s="5">
        <v>1</v>
      </c>
      <c r="R190" s="5">
        <v>1</v>
      </c>
      <c r="S190" cm="1">
        <f t="array" ref="S190">GetLatitude(U190)</f>
        <v>30.198785000000001</v>
      </c>
      <c r="T190" cm="1">
        <f t="array" ref="T190">GetLongitude(U190)</f>
        <v>71.479225</v>
      </c>
      <c r="U190" t="str">
        <f t="shared" si="6"/>
        <v>Dolat Gate, Multan, PK</v>
      </c>
      <c r="V190" t="str" cm="1">
        <f t="array" ref="V190">GetCoordinates(U190)</f>
        <v>30.1987850, 71.4792250</v>
      </c>
      <c r="W190" s="13" cm="1">
        <f t="array" ref="W190">TravelTime(A190,U190,AB190)</f>
        <v>21155</v>
      </c>
      <c r="X190" s="13">
        <f t="shared" si="7"/>
        <v>352.58333333333331</v>
      </c>
      <c r="Y190" s="13" cm="1">
        <f t="array" ref="Y190">TravelDistance(A190,U190,AB190)</f>
        <v>543418</v>
      </c>
      <c r="Z190" s="13" t="str">
        <f t="shared" si="8"/>
        <v>543.42km</v>
      </c>
      <c r="AA190" s="14" t="s">
        <v>361</v>
      </c>
      <c r="AB190" t="s">
        <v>355</v>
      </c>
    </row>
    <row r="191" spans="1:28" ht="15" x14ac:dyDescent="0.25">
      <c r="A191" s="2" t="s">
        <v>18</v>
      </c>
      <c r="B191" s="2" t="s">
        <v>220</v>
      </c>
      <c r="D191" s="3" t="s">
        <v>28</v>
      </c>
      <c r="E191" s="4" t="s">
        <v>29</v>
      </c>
      <c r="F191" s="4" t="s">
        <v>227</v>
      </c>
      <c r="G191" s="5">
        <v>0</v>
      </c>
      <c r="H191" s="5">
        <v>1</v>
      </c>
      <c r="I191" s="5">
        <v>1</v>
      </c>
      <c r="J191" s="5">
        <v>1</v>
      </c>
      <c r="K191" s="5">
        <v>1</v>
      </c>
      <c r="L191" s="5">
        <v>1</v>
      </c>
      <c r="M191" s="5">
        <v>1</v>
      </c>
      <c r="N191" s="5">
        <v>1</v>
      </c>
      <c r="O191" s="5">
        <v>1</v>
      </c>
      <c r="P191" s="5">
        <v>1</v>
      </c>
      <c r="Q191" s="5">
        <v>1</v>
      </c>
      <c r="R191" s="5">
        <v>1</v>
      </c>
      <c r="S191" cm="1">
        <f t="array" ref="S191">GetLatitude(U191)</f>
        <v>30.197686099999999</v>
      </c>
      <c r="T191" cm="1">
        <f t="array" ref="T191">GetLongitude(U191)</f>
        <v>71.471426899999997</v>
      </c>
      <c r="U191" t="str">
        <f t="shared" si="6"/>
        <v>Nigar Khana, Multan, PK</v>
      </c>
      <c r="V191" t="str" cm="1">
        <f t="array" ref="V191">GetCoordinates(U191)</f>
        <v>30.1976861, 71.4714269</v>
      </c>
      <c r="W191" s="13" cm="1">
        <f t="array" ref="W191">TravelTime(A191,U191,AB191)</f>
        <v>21389</v>
      </c>
      <c r="X191" s="13">
        <f t="shared" si="7"/>
        <v>356.48333333333335</v>
      </c>
      <c r="Y191" s="13" cm="1">
        <f t="array" ref="Y191">TravelDistance(A191,U191,AB191)</f>
        <v>544435</v>
      </c>
      <c r="Z191" s="13" t="str">
        <f t="shared" si="8"/>
        <v>544.44km</v>
      </c>
      <c r="AA191" s="14" t="s">
        <v>361</v>
      </c>
      <c r="AB191" t="s">
        <v>355</v>
      </c>
    </row>
    <row r="192" spans="1:28" ht="15" x14ac:dyDescent="0.25">
      <c r="A192" s="2" t="s">
        <v>18</v>
      </c>
      <c r="B192" s="2" t="s">
        <v>220</v>
      </c>
      <c r="D192" s="3" t="s">
        <v>28</v>
      </c>
      <c r="E192" s="4" t="s">
        <v>29</v>
      </c>
      <c r="F192" s="4" t="s">
        <v>228</v>
      </c>
      <c r="G192" s="5">
        <v>0</v>
      </c>
      <c r="H192" s="5">
        <v>1</v>
      </c>
      <c r="I192" s="5">
        <v>1</v>
      </c>
      <c r="J192" s="5">
        <v>1</v>
      </c>
      <c r="K192" s="5">
        <v>1</v>
      </c>
      <c r="L192" s="5">
        <v>1</v>
      </c>
      <c r="M192" s="5">
        <v>1</v>
      </c>
      <c r="N192" s="5">
        <v>1</v>
      </c>
      <c r="O192" s="5">
        <v>1</v>
      </c>
      <c r="P192" s="5">
        <v>1</v>
      </c>
      <c r="Q192" s="5">
        <v>1</v>
      </c>
      <c r="R192" s="5">
        <v>1</v>
      </c>
      <c r="S192" cm="1">
        <f t="array" ref="S192">GetLatitude(U192)</f>
        <v>30.2011556</v>
      </c>
      <c r="T192" cm="1">
        <f t="array" ref="T192">GetLongitude(U192)</f>
        <v>71.484060900000003</v>
      </c>
      <c r="U192" t="str">
        <f t="shared" si="6"/>
        <v>Tomb Shah Shams Sabzwari Tabrez, Multan, PK</v>
      </c>
      <c r="V192" t="str" cm="1">
        <f t="array" ref="V192">GetCoordinates(U192)</f>
        <v>30.2011556, 71.4840609</v>
      </c>
      <c r="W192" s="13" cm="1">
        <f t="array" ref="W192">TravelTime(A192,U192,AB192)</f>
        <v>21177</v>
      </c>
      <c r="X192" s="13">
        <f t="shared" si="7"/>
        <v>352.95</v>
      </c>
      <c r="Y192" s="13" cm="1">
        <f t="array" ref="Y192">TravelDistance(A192,U192,AB192)</f>
        <v>534397</v>
      </c>
      <c r="Z192" s="13" t="str">
        <f t="shared" si="8"/>
        <v>534.4km</v>
      </c>
      <c r="AA192" s="14" t="s">
        <v>361</v>
      </c>
      <c r="AB192" t="s">
        <v>355</v>
      </c>
    </row>
    <row r="193" spans="1:28" ht="15" x14ac:dyDescent="0.25">
      <c r="A193" s="2" t="s">
        <v>18</v>
      </c>
      <c r="B193" s="2" t="s">
        <v>220</v>
      </c>
      <c r="D193" s="3" t="s">
        <v>31</v>
      </c>
      <c r="E193" s="4" t="s">
        <v>36</v>
      </c>
      <c r="F193" s="4" t="s">
        <v>229</v>
      </c>
      <c r="G193" s="5">
        <v>0</v>
      </c>
      <c r="H193" s="5">
        <v>1</v>
      </c>
      <c r="I193" s="5">
        <v>1</v>
      </c>
      <c r="J193" s="5">
        <v>1</v>
      </c>
      <c r="K193" s="5">
        <v>1</v>
      </c>
      <c r="L193" s="5">
        <v>1</v>
      </c>
      <c r="M193" s="5">
        <v>1</v>
      </c>
      <c r="N193" s="5">
        <v>1</v>
      </c>
      <c r="O193" s="5">
        <v>1</v>
      </c>
      <c r="P193" s="5">
        <v>1</v>
      </c>
      <c r="Q193" s="5">
        <v>1</v>
      </c>
      <c r="R193" s="5">
        <v>1</v>
      </c>
      <c r="S193" cm="1">
        <f t="array" ref="S193">GetLatitude(U193)</f>
        <v>30.193677900000001</v>
      </c>
      <c r="T193" cm="1">
        <f t="array" ref="T193">GetLongitude(U193)</f>
        <v>71.451550100000006</v>
      </c>
      <c r="U193" t="str">
        <f t="shared" si="6"/>
        <v>United Mall, Multan, PK</v>
      </c>
      <c r="V193" t="str" cm="1">
        <f t="array" ref="V193">GetCoordinates(U193)</f>
        <v>30.1936779, 71.4515501</v>
      </c>
      <c r="W193" s="13" cm="1">
        <f t="array" ref="W193">TravelTime(A193,U193,AB193)</f>
        <v>21473</v>
      </c>
      <c r="X193" s="13">
        <f t="shared" si="7"/>
        <v>357.88333333333333</v>
      </c>
      <c r="Y193" s="13" cm="1">
        <f t="array" ref="Y193">TravelDistance(A193,U193,AB193)</f>
        <v>537977</v>
      </c>
      <c r="Z193" s="13" t="str">
        <f t="shared" si="8"/>
        <v>537.98km</v>
      </c>
      <c r="AA193" s="14" t="s">
        <v>361</v>
      </c>
      <c r="AB193" t="s">
        <v>355</v>
      </c>
    </row>
    <row r="194" spans="1:28" ht="15" x14ac:dyDescent="0.25">
      <c r="A194" s="2" t="s">
        <v>18</v>
      </c>
      <c r="B194" s="2" t="s">
        <v>220</v>
      </c>
      <c r="D194" s="3" t="s">
        <v>28</v>
      </c>
      <c r="E194" s="4" t="s">
        <v>29</v>
      </c>
      <c r="F194" s="4" t="s">
        <v>211</v>
      </c>
      <c r="G194" s="5">
        <v>0</v>
      </c>
      <c r="H194" s="5">
        <v>1</v>
      </c>
      <c r="I194" s="5">
        <v>1</v>
      </c>
      <c r="J194" s="5">
        <v>1</v>
      </c>
      <c r="K194" s="5">
        <v>1</v>
      </c>
      <c r="L194" s="5">
        <v>1</v>
      </c>
      <c r="M194" s="5">
        <v>1</v>
      </c>
      <c r="N194" s="5">
        <v>1</v>
      </c>
      <c r="O194" s="5">
        <v>1</v>
      </c>
      <c r="P194" s="5">
        <v>1</v>
      </c>
      <c r="Q194" s="5">
        <v>1</v>
      </c>
      <c r="R194" s="5">
        <v>1</v>
      </c>
      <c r="S194" cm="1">
        <f t="array" ref="S194">GetLatitude(U194)</f>
        <v>30.1922131</v>
      </c>
      <c r="T194" cm="1">
        <f t="array" ref="T194">GetLongitude(U194)</f>
        <v>71.4780552</v>
      </c>
      <c r="U194" t="str">
        <f t="shared" si="6"/>
        <v>Delhi Gate, Multan, PK</v>
      </c>
      <c r="V194" t="str" cm="1">
        <f t="array" ref="V194">GetCoordinates(U194)</f>
        <v>30.1922131, 71.4780552</v>
      </c>
      <c r="W194" s="13" cm="1">
        <f t="array" ref="W194">TravelTime(A194,U194,AB194)</f>
        <v>21254</v>
      </c>
      <c r="X194" s="13">
        <f t="shared" si="7"/>
        <v>354.23333333333335</v>
      </c>
      <c r="Y194" s="13" cm="1">
        <f t="array" ref="Y194">TravelDistance(A194,U194,AB194)</f>
        <v>542984</v>
      </c>
      <c r="Z194" s="13" t="str">
        <f t="shared" si="8"/>
        <v>542.98km</v>
      </c>
      <c r="AA194" s="14" t="s">
        <v>361</v>
      </c>
      <c r="AB194" t="s">
        <v>355</v>
      </c>
    </row>
    <row r="195" spans="1:28" ht="15" x14ac:dyDescent="0.25">
      <c r="A195" s="2" t="s">
        <v>18</v>
      </c>
      <c r="B195" s="2" t="s">
        <v>220</v>
      </c>
      <c r="D195" s="3" t="s">
        <v>28</v>
      </c>
      <c r="E195" s="4" t="s">
        <v>29</v>
      </c>
      <c r="F195" s="4" t="s">
        <v>230</v>
      </c>
      <c r="G195" s="5">
        <v>0</v>
      </c>
      <c r="H195" s="5">
        <v>1</v>
      </c>
      <c r="I195" s="5">
        <v>1</v>
      </c>
      <c r="J195" s="5">
        <v>1</v>
      </c>
      <c r="K195" s="5">
        <v>1</v>
      </c>
      <c r="L195" s="5">
        <v>1</v>
      </c>
      <c r="M195" s="5">
        <v>1</v>
      </c>
      <c r="N195" s="5">
        <v>1</v>
      </c>
      <c r="O195" s="5">
        <v>1</v>
      </c>
      <c r="P195" s="5">
        <v>1</v>
      </c>
      <c r="Q195" s="5">
        <v>1</v>
      </c>
      <c r="R195" s="5">
        <v>1</v>
      </c>
      <c r="S195" cm="1">
        <f t="array" ref="S195">GetLatitude(U195)</f>
        <v>30.2179289</v>
      </c>
      <c r="T195" cm="1">
        <f t="array" ref="T195">GetLongitude(U195)</f>
        <v>71.438053199999999</v>
      </c>
      <c r="U195" t="str">
        <f t="shared" ref="U195:U258" si="9">F195&amp;", "&amp;B195&amp;", "&amp;AA195</f>
        <v>Tomb Shah Ali Akbar, Multan, PK</v>
      </c>
      <c r="V195" t="str" cm="1">
        <f t="array" ref="V195">GetCoordinates(U195)</f>
        <v>30.2179289, 71.4380532</v>
      </c>
      <c r="W195" s="13" cm="1">
        <f t="array" ref="W195">TravelTime(A195,U195,AB195)</f>
        <v>21558</v>
      </c>
      <c r="X195" s="13">
        <f t="shared" ref="X195:X258" si="10">W195/60</f>
        <v>359.3</v>
      </c>
      <c r="Y195" s="13" cm="1">
        <f t="array" ref="Y195">TravelDistance(A195,U195,AB195)</f>
        <v>539764</v>
      </c>
      <c r="Z195" s="13" t="str">
        <f t="shared" ref="Z195:Z258" si="11">ROUND(Y195/1000,2)&amp;"km"</f>
        <v>539.76km</v>
      </c>
      <c r="AA195" s="14" t="s">
        <v>361</v>
      </c>
      <c r="AB195" t="s">
        <v>355</v>
      </c>
    </row>
    <row r="196" spans="1:28" ht="15" x14ac:dyDescent="0.25">
      <c r="A196" s="2" t="s">
        <v>18</v>
      </c>
      <c r="B196" s="2" t="s">
        <v>220</v>
      </c>
      <c r="D196" s="3" t="s">
        <v>31</v>
      </c>
      <c r="E196" s="4" t="s">
        <v>21</v>
      </c>
      <c r="F196" s="4" t="s">
        <v>231</v>
      </c>
      <c r="G196" s="5">
        <v>0</v>
      </c>
      <c r="H196" s="5">
        <v>1</v>
      </c>
      <c r="I196" s="5">
        <v>1</v>
      </c>
      <c r="J196" s="5">
        <v>1</v>
      </c>
      <c r="K196" s="5">
        <v>1</v>
      </c>
      <c r="L196" s="5">
        <v>1</v>
      </c>
      <c r="M196" s="5">
        <v>1</v>
      </c>
      <c r="N196" s="5">
        <v>1</v>
      </c>
      <c r="O196" s="5">
        <v>1</v>
      </c>
      <c r="P196" s="5">
        <v>1</v>
      </c>
      <c r="Q196" s="5">
        <v>1</v>
      </c>
      <c r="R196" s="5">
        <v>1</v>
      </c>
      <c r="S196" cm="1">
        <f t="array" ref="S196">GetLatitude(U196)</f>
        <v>30.075058800000001</v>
      </c>
      <c r="T196" cm="1">
        <f t="array" ref="T196">GetLongitude(U196)</f>
        <v>71.281258399999999</v>
      </c>
      <c r="U196" t="str">
        <f t="shared" si="9"/>
        <v>Chenab West Bank Park, Multan, PK</v>
      </c>
      <c r="V196" t="str" cm="1">
        <f t="array" ref="V196">GetCoordinates(U196)</f>
        <v>30.0750588, 71.2812584</v>
      </c>
      <c r="W196" s="13" cm="1">
        <f t="array" ref="W196">TravelTime(A196,U196,AB196)</f>
        <v>21667</v>
      </c>
      <c r="X196" s="13">
        <f t="shared" si="10"/>
        <v>361.11666666666667</v>
      </c>
      <c r="Y196" s="13" cm="1">
        <f t="array" ref="Y196">TravelDistance(A196,U196,AB196)</f>
        <v>567340</v>
      </c>
      <c r="Z196" s="13" t="str">
        <f t="shared" si="11"/>
        <v>567.34km</v>
      </c>
      <c r="AA196" s="14" t="s">
        <v>361</v>
      </c>
      <c r="AB196" t="s">
        <v>355</v>
      </c>
    </row>
    <row r="197" spans="1:28" ht="15" x14ac:dyDescent="0.25">
      <c r="A197" s="2" t="s">
        <v>18</v>
      </c>
      <c r="B197" s="2" t="s">
        <v>220</v>
      </c>
      <c r="D197" s="3" t="s">
        <v>28</v>
      </c>
      <c r="E197" s="4" t="s">
        <v>29</v>
      </c>
      <c r="F197" s="4" t="s">
        <v>232</v>
      </c>
      <c r="G197" s="5">
        <v>0</v>
      </c>
      <c r="H197" s="5">
        <v>1</v>
      </c>
      <c r="I197" s="5">
        <v>1</v>
      </c>
      <c r="J197" s="5">
        <v>1</v>
      </c>
      <c r="K197" s="5">
        <v>1</v>
      </c>
      <c r="L197" s="5">
        <v>1</v>
      </c>
      <c r="M197" s="5">
        <v>1</v>
      </c>
      <c r="N197" s="5">
        <v>1</v>
      </c>
      <c r="O197" s="5">
        <v>1</v>
      </c>
      <c r="P197" s="5">
        <v>1</v>
      </c>
      <c r="Q197" s="5">
        <v>1</v>
      </c>
      <c r="R197" s="5">
        <v>1</v>
      </c>
      <c r="S197" cm="1">
        <f t="array" ref="S197">GetLatitude(U197)</f>
        <v>30.157457999999998</v>
      </c>
      <c r="T197" cm="1">
        <f t="array" ref="T197">GetLongitude(U197)</f>
        <v>71.524915399999998</v>
      </c>
      <c r="U197" t="str">
        <f t="shared" si="9"/>
        <v>Char Minar Masjid, Multan, PK</v>
      </c>
      <c r="V197" t="str" cm="1">
        <f t="array" ref="V197">GetCoordinates(U197)</f>
        <v>30.1574580, 71.5249154</v>
      </c>
      <c r="W197" s="13" cm="1">
        <f t="array" ref="W197">TravelTime(A197,U197,AB197)</f>
        <v>20422</v>
      </c>
      <c r="X197" s="13">
        <f t="shared" si="10"/>
        <v>340.36666666666667</v>
      </c>
      <c r="Y197" s="13" cm="1">
        <f t="array" ref="Y197">TravelDistance(A197,U197,AB197)</f>
        <v>536832</v>
      </c>
      <c r="Z197" s="13" t="str">
        <f t="shared" si="11"/>
        <v>536.83km</v>
      </c>
      <c r="AA197" s="14" t="s">
        <v>361</v>
      </c>
      <c r="AB197" t="s">
        <v>355</v>
      </c>
    </row>
    <row r="198" spans="1:28" ht="15" x14ac:dyDescent="0.25">
      <c r="A198" s="2" t="s">
        <v>18</v>
      </c>
      <c r="B198" s="2" t="s">
        <v>220</v>
      </c>
      <c r="D198" s="3" t="s">
        <v>28</v>
      </c>
      <c r="E198" s="4" t="s">
        <v>29</v>
      </c>
      <c r="F198" s="4" t="s">
        <v>233</v>
      </c>
      <c r="G198" s="5">
        <v>0</v>
      </c>
      <c r="H198" s="5">
        <v>1</v>
      </c>
      <c r="I198" s="5">
        <v>1</v>
      </c>
      <c r="J198" s="5">
        <v>1</v>
      </c>
      <c r="K198" s="5">
        <v>1</v>
      </c>
      <c r="L198" s="5">
        <v>1</v>
      </c>
      <c r="M198" s="5">
        <v>1</v>
      </c>
      <c r="N198" s="5">
        <v>1</v>
      </c>
      <c r="O198" s="5">
        <v>1</v>
      </c>
      <c r="P198" s="5">
        <v>1</v>
      </c>
      <c r="Q198" s="5">
        <v>1</v>
      </c>
      <c r="R198" s="5">
        <v>1</v>
      </c>
      <c r="S198" cm="1">
        <f t="array" ref="S198">GetLatitude(U198)</f>
        <v>30.198557000000001</v>
      </c>
      <c r="T198" cm="1">
        <f t="array" ref="T198">GetLongitude(U198)</f>
        <v>71.468381199999996</v>
      </c>
      <c r="U198" t="str">
        <f t="shared" si="9"/>
        <v>Ghanta Ghar, Multan, PK</v>
      </c>
      <c r="V198" t="str" cm="1">
        <f t="array" ref="V198">GetCoordinates(U198)</f>
        <v>30.1985570, 71.4683812</v>
      </c>
      <c r="W198" s="13" cm="1">
        <f t="array" ref="W198">TravelTime(A198,U198,AB198)</f>
        <v>21293</v>
      </c>
      <c r="X198" s="13">
        <f t="shared" si="10"/>
        <v>354.88333333333333</v>
      </c>
      <c r="Y198" s="13" cm="1">
        <f t="array" ref="Y198">TravelDistance(A198,U198,AB198)</f>
        <v>536415</v>
      </c>
      <c r="Z198" s="13" t="str">
        <f t="shared" si="11"/>
        <v>536.42km</v>
      </c>
      <c r="AA198" s="14" t="s">
        <v>361</v>
      </c>
      <c r="AB198" t="s">
        <v>355</v>
      </c>
    </row>
    <row r="199" spans="1:28" ht="15" x14ac:dyDescent="0.25">
      <c r="A199" s="2" t="s">
        <v>18</v>
      </c>
      <c r="B199" s="2" t="s">
        <v>220</v>
      </c>
      <c r="D199" s="3" t="s">
        <v>28</v>
      </c>
      <c r="E199" s="4" t="s">
        <v>29</v>
      </c>
      <c r="F199" s="4" t="s">
        <v>234</v>
      </c>
      <c r="G199" s="5">
        <v>0</v>
      </c>
      <c r="H199" s="5">
        <v>1</v>
      </c>
      <c r="I199" s="5">
        <v>1</v>
      </c>
      <c r="J199" s="5">
        <v>1</v>
      </c>
      <c r="K199" s="5">
        <v>1</v>
      </c>
      <c r="L199" s="5">
        <v>1</v>
      </c>
      <c r="M199" s="5">
        <v>1</v>
      </c>
      <c r="N199" s="5">
        <v>1</v>
      </c>
      <c r="O199" s="5">
        <v>1</v>
      </c>
      <c r="P199" s="5">
        <v>1</v>
      </c>
      <c r="Q199" s="5">
        <v>1</v>
      </c>
      <c r="R199" s="5">
        <v>1</v>
      </c>
      <c r="S199" cm="1">
        <f t="array" ref="S199">GetLatitude(U199)</f>
        <v>30.196596400000001</v>
      </c>
      <c r="T199" cm="1">
        <f t="array" ref="T199">GetLongitude(U199)</f>
        <v>71.463151600000003</v>
      </c>
      <c r="U199" t="str">
        <f t="shared" si="9"/>
        <v>Shrine of Mai Maharban, Multan, PK</v>
      </c>
      <c r="V199" t="str" cm="1">
        <f t="array" ref="V199">GetCoordinates(U199)</f>
        <v>30.1965964, 71.4631516</v>
      </c>
      <c r="W199" s="13" cm="1">
        <f t="array" ref="W199">TravelTime(A199,U199,AB199)</f>
        <v>21452</v>
      </c>
      <c r="X199" s="13">
        <f t="shared" si="10"/>
        <v>357.53333333333336</v>
      </c>
      <c r="Y199" s="13" cm="1">
        <f t="array" ref="Y199">TravelDistance(A199,U199,AB199)</f>
        <v>537103</v>
      </c>
      <c r="Z199" s="13" t="str">
        <f t="shared" si="11"/>
        <v>537.1km</v>
      </c>
      <c r="AA199" s="14" t="s">
        <v>361</v>
      </c>
      <c r="AB199" t="s">
        <v>355</v>
      </c>
    </row>
    <row r="200" spans="1:28" ht="15" x14ac:dyDescent="0.25">
      <c r="A200" s="2" t="s">
        <v>18</v>
      </c>
      <c r="B200" s="2" t="s">
        <v>220</v>
      </c>
      <c r="D200" s="3" t="s">
        <v>28</v>
      </c>
      <c r="E200" s="4" t="s">
        <v>29</v>
      </c>
      <c r="F200" s="4" t="s">
        <v>235</v>
      </c>
      <c r="G200" s="5">
        <v>0</v>
      </c>
      <c r="H200" s="5">
        <v>1</v>
      </c>
      <c r="I200" s="5">
        <v>1</v>
      </c>
      <c r="J200" s="5">
        <v>1</v>
      </c>
      <c r="K200" s="5">
        <v>1</v>
      </c>
      <c r="L200" s="5">
        <v>1</v>
      </c>
      <c r="M200" s="5">
        <v>1</v>
      </c>
      <c r="N200" s="5">
        <v>1</v>
      </c>
      <c r="O200" s="5">
        <v>1</v>
      </c>
      <c r="P200" s="5">
        <v>1</v>
      </c>
      <c r="Q200" s="5">
        <v>1</v>
      </c>
      <c r="R200" s="5">
        <v>1</v>
      </c>
      <c r="S200" cm="1">
        <f t="array" ref="S200">GetLatitude(U200)</f>
        <v>30.1901738</v>
      </c>
      <c r="T200" cm="1">
        <f t="array" ref="T200">GetLongitude(U200)</f>
        <v>71.469442200000003</v>
      </c>
      <c r="U200" t="str">
        <f t="shared" si="9"/>
        <v>Haram Gate, Multan, PK</v>
      </c>
      <c r="V200" t="str" cm="1">
        <f t="array" ref="V200">GetCoordinates(U200)</f>
        <v>30.1901738, 71.4694422</v>
      </c>
      <c r="W200" s="13" cm="1">
        <f t="array" ref="W200">TravelTime(A200,U200,AB200)</f>
        <v>21417</v>
      </c>
      <c r="X200" s="13">
        <f t="shared" si="10"/>
        <v>356.95</v>
      </c>
      <c r="Y200" s="13" cm="1">
        <f t="array" ref="Y200">TravelDistance(A200,U200,AB200)</f>
        <v>543678</v>
      </c>
      <c r="Z200" s="13" t="str">
        <f t="shared" si="11"/>
        <v>543.68km</v>
      </c>
      <c r="AA200" s="14" t="s">
        <v>361</v>
      </c>
      <c r="AB200" t="s">
        <v>355</v>
      </c>
    </row>
    <row r="201" spans="1:28" ht="15" x14ac:dyDescent="0.25">
      <c r="A201" s="2" t="s">
        <v>18</v>
      </c>
      <c r="B201" s="2" t="s">
        <v>220</v>
      </c>
      <c r="D201" s="3" t="s">
        <v>31</v>
      </c>
      <c r="E201" s="4" t="s">
        <v>55</v>
      </c>
      <c r="F201" s="4" t="s">
        <v>236</v>
      </c>
      <c r="G201" s="5">
        <v>0</v>
      </c>
      <c r="H201" s="5">
        <v>1</v>
      </c>
      <c r="I201" s="5">
        <v>1</v>
      </c>
      <c r="J201" s="5">
        <v>1</v>
      </c>
      <c r="K201" s="5">
        <v>1</v>
      </c>
      <c r="L201" s="5">
        <v>1</v>
      </c>
      <c r="M201" s="5">
        <v>1</v>
      </c>
      <c r="N201" s="5">
        <v>1</v>
      </c>
      <c r="O201" s="5">
        <v>1</v>
      </c>
      <c r="P201" s="5">
        <v>1</v>
      </c>
      <c r="Q201" s="5">
        <v>1</v>
      </c>
      <c r="R201" s="5">
        <v>1</v>
      </c>
      <c r="S201" cm="1">
        <f t="array" ref="S201">GetLatitude(U201)</f>
        <v>30.178245</v>
      </c>
      <c r="T201" cm="1">
        <f t="array" ref="T201">GetLongitude(U201)</f>
        <v>71.414351400000001</v>
      </c>
      <c r="U201" t="str">
        <f t="shared" si="9"/>
        <v>Chaman Zar Askari Lake Park, Multan, PK</v>
      </c>
      <c r="V201" t="str" cm="1">
        <f t="array" ref="V201">GetCoordinates(U201)</f>
        <v>30.1782450, 71.4143514</v>
      </c>
      <c r="W201" s="13" cm="1">
        <f t="array" ref="W201">TravelTime(A201,U201,AB201)</f>
        <v>21964</v>
      </c>
      <c r="X201" s="13">
        <f t="shared" si="10"/>
        <v>366.06666666666666</v>
      </c>
      <c r="Y201" s="13" cm="1">
        <f t="array" ref="Y201">TravelDistance(A201,U201,AB201)</f>
        <v>542266</v>
      </c>
      <c r="Z201" s="13" t="str">
        <f t="shared" si="11"/>
        <v>542.27km</v>
      </c>
      <c r="AA201" s="14" t="s">
        <v>361</v>
      </c>
      <c r="AB201" t="s">
        <v>355</v>
      </c>
    </row>
    <row r="202" spans="1:28" ht="15" x14ac:dyDescent="0.25">
      <c r="A202" s="2" t="s">
        <v>18</v>
      </c>
      <c r="B202" s="2" t="s">
        <v>220</v>
      </c>
      <c r="D202" s="3" t="s">
        <v>28</v>
      </c>
      <c r="E202" s="4" t="s">
        <v>29</v>
      </c>
      <c r="F202" s="4" t="s">
        <v>237</v>
      </c>
      <c r="G202" s="5">
        <v>0</v>
      </c>
      <c r="H202" s="5">
        <v>1</v>
      </c>
      <c r="I202" s="5">
        <v>1</v>
      </c>
      <c r="J202" s="5">
        <v>1</v>
      </c>
      <c r="K202" s="5">
        <v>1</v>
      </c>
      <c r="L202" s="5">
        <v>1</v>
      </c>
      <c r="M202" s="5">
        <v>1</v>
      </c>
      <c r="N202" s="5">
        <v>1</v>
      </c>
      <c r="O202" s="5">
        <v>1</v>
      </c>
      <c r="P202" s="5">
        <v>1</v>
      </c>
      <c r="Q202" s="5">
        <v>1</v>
      </c>
      <c r="R202" s="5">
        <v>1</v>
      </c>
      <c r="S202" cm="1">
        <f t="array" ref="S202">GetLatitude(U202)</f>
        <v>30.199127300000001</v>
      </c>
      <c r="T202" cm="1">
        <f t="array" ref="T202">GetLongitude(U202)</f>
        <v>71.471737000000005</v>
      </c>
      <c r="U202" t="str">
        <f t="shared" si="9"/>
        <v>Mausoleum of Bibi Pak Daman, Multan, PK</v>
      </c>
      <c r="V202" t="str" cm="1">
        <f t="array" ref="V202">GetCoordinates(U202)</f>
        <v>30.1991273, 71.4717370</v>
      </c>
      <c r="W202" s="13" cm="1">
        <f t="array" ref="W202">TravelTime(A202,U202,AB202)</f>
        <v>21350</v>
      </c>
      <c r="X202" s="13">
        <f t="shared" si="10"/>
        <v>355.83333333333331</v>
      </c>
      <c r="Y202" s="13" cm="1">
        <f t="array" ref="Y202">TravelDistance(A202,U202,AB202)</f>
        <v>544278</v>
      </c>
      <c r="Z202" s="13" t="str">
        <f t="shared" si="11"/>
        <v>544.28km</v>
      </c>
      <c r="AA202" s="14" t="s">
        <v>361</v>
      </c>
      <c r="AB202" t="s">
        <v>355</v>
      </c>
    </row>
    <row r="203" spans="1:28" ht="15" x14ac:dyDescent="0.25">
      <c r="A203" s="2" t="s">
        <v>18</v>
      </c>
      <c r="B203" s="2" t="s">
        <v>220</v>
      </c>
      <c r="D203" s="3" t="s">
        <v>28</v>
      </c>
      <c r="E203" s="4" t="s">
        <v>29</v>
      </c>
      <c r="F203" s="4" t="s">
        <v>238</v>
      </c>
      <c r="G203" s="5">
        <v>0</v>
      </c>
      <c r="H203" s="5">
        <v>1</v>
      </c>
      <c r="I203" s="5">
        <v>1</v>
      </c>
      <c r="J203" s="5">
        <v>1</v>
      </c>
      <c r="K203" s="5">
        <v>1</v>
      </c>
      <c r="L203" s="5">
        <v>1</v>
      </c>
      <c r="M203" s="5">
        <v>1</v>
      </c>
      <c r="N203" s="5">
        <v>1</v>
      </c>
      <c r="O203" s="5">
        <v>1</v>
      </c>
      <c r="P203" s="5">
        <v>1</v>
      </c>
      <c r="Q203" s="5">
        <v>1</v>
      </c>
      <c r="R203" s="5">
        <v>1</v>
      </c>
      <c r="S203" cm="1">
        <f t="array" ref="S203">GetLatitude(U203)</f>
        <v>30.194596499999999</v>
      </c>
      <c r="T203" cm="1">
        <f t="array" ref="T203">GetLongitude(U203)</f>
        <v>71.465556599999999</v>
      </c>
      <c r="U203" t="str">
        <f t="shared" si="9"/>
        <v>Shrine of Shah Yusuf Gardezi, Multan, PK</v>
      </c>
      <c r="V203" t="str" cm="1">
        <f t="array" ref="V203">GetCoordinates(U203)</f>
        <v>30.1945965, 71.4655566</v>
      </c>
      <c r="W203" s="13" cm="1">
        <f t="array" ref="W203">TravelTime(A203,U203,AB203)</f>
        <v>21379</v>
      </c>
      <c r="X203" s="13">
        <f t="shared" si="10"/>
        <v>356.31666666666666</v>
      </c>
      <c r="Y203" s="13" cm="1">
        <f t="array" ref="Y203">TravelDistance(A203,U203,AB203)</f>
        <v>536868</v>
      </c>
      <c r="Z203" s="13" t="str">
        <f t="shared" si="11"/>
        <v>536.87km</v>
      </c>
      <c r="AA203" s="14" t="s">
        <v>361</v>
      </c>
      <c r="AB203" t="s">
        <v>355</v>
      </c>
    </row>
    <row r="204" spans="1:28" ht="15" x14ac:dyDescent="0.25">
      <c r="A204" s="2" t="s">
        <v>18</v>
      </c>
      <c r="B204" s="2" t="s">
        <v>220</v>
      </c>
      <c r="D204" s="3" t="s">
        <v>28</v>
      </c>
      <c r="E204" s="4" t="s">
        <v>29</v>
      </c>
      <c r="F204" s="4" t="s">
        <v>239</v>
      </c>
      <c r="G204" s="5">
        <v>0</v>
      </c>
      <c r="H204" s="5">
        <v>1</v>
      </c>
      <c r="I204" s="5">
        <v>1</v>
      </c>
      <c r="J204" s="5">
        <v>1</v>
      </c>
      <c r="K204" s="5">
        <v>1</v>
      </c>
      <c r="L204" s="5">
        <v>1</v>
      </c>
      <c r="M204" s="5">
        <v>1</v>
      </c>
      <c r="N204" s="5">
        <v>1</v>
      </c>
      <c r="O204" s="5">
        <v>1</v>
      </c>
      <c r="P204" s="5">
        <v>1</v>
      </c>
      <c r="Q204" s="5">
        <v>1</v>
      </c>
      <c r="R204" s="5">
        <v>1</v>
      </c>
      <c r="S204" cm="1">
        <f t="array" ref="S204">GetLatitude(U204)</f>
        <v>30.199206199999999</v>
      </c>
      <c r="T204" cm="1">
        <f t="array" ref="T204">GetLongitude(U204)</f>
        <v>71.471609900000004</v>
      </c>
      <c r="U204" t="str">
        <f t="shared" si="9"/>
        <v>Tomb Shah Rukne Alam, Multan, PK</v>
      </c>
      <c r="V204" t="str" cm="1">
        <f t="array" ref="V204">GetCoordinates(U204)</f>
        <v>30.1992062, 71.4716099</v>
      </c>
      <c r="W204" s="13" cm="1">
        <f t="array" ref="W204">TravelTime(A204,U204,AB204)</f>
        <v>21328</v>
      </c>
      <c r="X204" s="13">
        <f t="shared" si="10"/>
        <v>355.46666666666664</v>
      </c>
      <c r="Y204" s="13" cm="1">
        <f t="array" ref="Y204">TravelDistance(A204,U204,AB204)</f>
        <v>536564</v>
      </c>
      <c r="Z204" s="13" t="str">
        <f t="shared" si="11"/>
        <v>536.56km</v>
      </c>
      <c r="AA204" s="14" t="s">
        <v>361</v>
      </c>
      <c r="AB204" t="s">
        <v>355</v>
      </c>
    </row>
    <row r="205" spans="1:28" ht="15" x14ac:dyDescent="0.25">
      <c r="A205" s="2" t="s">
        <v>18</v>
      </c>
      <c r="B205" s="2" t="s">
        <v>220</v>
      </c>
      <c r="D205" s="3" t="s">
        <v>28</v>
      </c>
      <c r="E205" s="4" t="s">
        <v>29</v>
      </c>
      <c r="F205" s="4" t="s">
        <v>240</v>
      </c>
      <c r="G205" s="5">
        <v>0</v>
      </c>
      <c r="H205" s="5">
        <v>1</v>
      </c>
      <c r="I205" s="5">
        <v>1</v>
      </c>
      <c r="J205" s="5">
        <v>1</v>
      </c>
      <c r="K205" s="5">
        <v>1</v>
      </c>
      <c r="L205" s="5">
        <v>1</v>
      </c>
      <c r="M205" s="5">
        <v>1</v>
      </c>
      <c r="N205" s="5">
        <v>1</v>
      </c>
      <c r="O205" s="5">
        <v>1</v>
      </c>
      <c r="P205" s="5">
        <v>1</v>
      </c>
      <c r="Q205" s="5">
        <v>1</v>
      </c>
      <c r="R205" s="5">
        <v>1</v>
      </c>
      <c r="S205" cm="1">
        <f t="array" ref="S205">GetLatitude(U205)</f>
        <v>30.1985159</v>
      </c>
      <c r="T205" cm="1">
        <f t="array" ref="T205">GetLongitude(U205)</f>
        <v>71.473659900000001</v>
      </c>
      <c r="U205" t="str">
        <f t="shared" si="9"/>
        <v>Fort Kohna, Multan, PK</v>
      </c>
      <c r="V205" t="str" cm="1">
        <f t="array" ref="V205">GetCoordinates(U205)</f>
        <v>30.1985159, 71.4736599</v>
      </c>
      <c r="W205" s="13" cm="1">
        <f t="array" ref="W205">TravelTime(A205,U205,AB205)</f>
        <v>21313</v>
      </c>
      <c r="X205" s="13">
        <f t="shared" si="10"/>
        <v>355.21666666666664</v>
      </c>
      <c r="Y205" s="13" cm="1">
        <f t="array" ref="Y205">TravelDistance(A205,U205,AB205)</f>
        <v>536501</v>
      </c>
      <c r="Z205" s="13" t="str">
        <f t="shared" si="11"/>
        <v>536.5km</v>
      </c>
      <c r="AA205" s="14" t="s">
        <v>361</v>
      </c>
      <c r="AB205" t="s">
        <v>355</v>
      </c>
    </row>
    <row r="206" spans="1:28" ht="15" x14ac:dyDescent="0.25">
      <c r="A206" s="2" t="s">
        <v>18</v>
      </c>
      <c r="B206" s="2" t="s">
        <v>241</v>
      </c>
      <c r="D206" s="3" t="s">
        <v>20</v>
      </c>
      <c r="E206" s="4" t="s">
        <v>21</v>
      </c>
      <c r="F206" s="4" t="s">
        <v>242</v>
      </c>
      <c r="G206" s="5">
        <v>1</v>
      </c>
      <c r="H206" s="5">
        <v>1</v>
      </c>
      <c r="I206" s="5">
        <v>1</v>
      </c>
      <c r="J206" s="5">
        <v>1</v>
      </c>
      <c r="K206" s="5">
        <v>1</v>
      </c>
      <c r="L206" s="5">
        <v>1</v>
      </c>
      <c r="M206" s="5">
        <v>1</v>
      </c>
      <c r="N206" s="5">
        <v>1</v>
      </c>
      <c r="O206" s="5">
        <v>1</v>
      </c>
      <c r="P206" s="5">
        <v>1</v>
      </c>
      <c r="Q206" s="5">
        <v>0</v>
      </c>
      <c r="R206" s="5">
        <v>0</v>
      </c>
      <c r="S206" cm="1">
        <f t="array" ref="S206">GetLatitude(U206)</f>
        <v>34.876194499999997</v>
      </c>
      <c r="T206" cm="1">
        <f t="array" ref="T206">GetLongitude(U206)</f>
        <v>73.693352000000004</v>
      </c>
      <c r="U206" t="str">
        <f t="shared" si="9"/>
        <v>Saif-ul-Muluk Lake, Naran, PK</v>
      </c>
      <c r="V206" t="str" cm="1">
        <f t="array" ref="V206">GetCoordinates(U206)</f>
        <v>34.8761945, 73.6933520</v>
      </c>
      <c r="W206" s="13" cm="1">
        <f t="array" ref="W206">TravelTime(A206,U206,AB206)</f>
        <v>22824</v>
      </c>
      <c r="X206" s="13">
        <f t="shared" si="10"/>
        <v>380.4</v>
      </c>
      <c r="Y206" s="13" cm="1">
        <f t="array" ref="Y206">TravelDistance(A206,U206,AB206)</f>
        <v>290975</v>
      </c>
      <c r="Z206" s="13" t="str">
        <f t="shared" si="11"/>
        <v>290.98km</v>
      </c>
      <c r="AA206" s="14" t="s">
        <v>361</v>
      </c>
      <c r="AB206" t="s">
        <v>355</v>
      </c>
    </row>
    <row r="207" spans="1:28" ht="15" x14ac:dyDescent="0.25">
      <c r="A207" s="2" t="s">
        <v>18</v>
      </c>
      <c r="B207" s="2" t="s">
        <v>241</v>
      </c>
      <c r="D207" s="3" t="s">
        <v>31</v>
      </c>
      <c r="E207" s="4" t="s">
        <v>21</v>
      </c>
      <c r="F207" s="4" t="s">
        <v>243</v>
      </c>
      <c r="G207" s="5">
        <v>1</v>
      </c>
      <c r="H207" s="5">
        <v>1</v>
      </c>
      <c r="I207" s="5">
        <v>1</v>
      </c>
      <c r="J207" s="5">
        <v>1</v>
      </c>
      <c r="K207" s="5">
        <v>1</v>
      </c>
      <c r="L207" s="5">
        <v>1</v>
      </c>
      <c r="M207" s="5">
        <v>1</v>
      </c>
      <c r="N207" s="5">
        <v>1</v>
      </c>
      <c r="O207" s="5">
        <v>1</v>
      </c>
      <c r="P207" s="5">
        <v>1</v>
      </c>
      <c r="Q207" s="5">
        <v>0</v>
      </c>
      <c r="R207" s="5">
        <v>0</v>
      </c>
      <c r="S207" cm="1">
        <f t="array" ref="S207">GetLatitude(U207)</f>
        <v>35.018598099999998</v>
      </c>
      <c r="T207" cm="1">
        <f t="array" ref="T207">GetLongitude(U207)</f>
        <v>74.090226000000001</v>
      </c>
      <c r="U207" t="str">
        <f t="shared" si="9"/>
        <v>Lulusar-Dudipatsar National Park, Naran, PK</v>
      </c>
      <c r="V207" t="str" cm="1">
        <f t="array" ref="V207">GetCoordinates(U207)</f>
        <v>35.0185981, 74.0902260</v>
      </c>
      <c r="W207" s="13" t="e" cm="1">
        <f t="array" ref="W207">TravelTime(A207,U207,AB207)</f>
        <v>#VALUE!</v>
      </c>
      <c r="X207" s="13" t="e">
        <f t="shared" si="10"/>
        <v>#VALUE!</v>
      </c>
      <c r="Y207" s="13" t="e" cm="1">
        <f t="array" ref="Y207">TravelDistance(A207,U207,AB207)</f>
        <v>#VALUE!</v>
      </c>
      <c r="Z207" s="13" t="e">
        <f t="shared" si="11"/>
        <v>#VALUE!</v>
      </c>
      <c r="AA207" s="14" t="s">
        <v>361</v>
      </c>
      <c r="AB207" t="s">
        <v>355</v>
      </c>
    </row>
    <row r="208" spans="1:28" ht="15" x14ac:dyDescent="0.25">
      <c r="A208" s="2" t="s">
        <v>18</v>
      </c>
      <c r="B208" s="6" t="s">
        <v>244</v>
      </c>
      <c r="D208" s="3" t="s">
        <v>45</v>
      </c>
      <c r="E208" s="3" t="s">
        <v>106</v>
      </c>
      <c r="F208" s="4" t="s">
        <v>245</v>
      </c>
      <c r="G208" s="5">
        <v>1</v>
      </c>
      <c r="H208" s="5">
        <v>1</v>
      </c>
      <c r="I208" s="5">
        <v>1</v>
      </c>
      <c r="J208" s="5">
        <v>1</v>
      </c>
      <c r="K208" s="5">
        <v>1</v>
      </c>
      <c r="L208" s="5">
        <v>1</v>
      </c>
      <c r="M208" s="5">
        <v>1</v>
      </c>
      <c r="N208" s="5">
        <v>1</v>
      </c>
      <c r="O208" s="5">
        <v>1</v>
      </c>
      <c r="P208" s="5">
        <v>1</v>
      </c>
      <c r="Q208" s="5">
        <v>1</v>
      </c>
      <c r="R208" s="5">
        <v>1</v>
      </c>
      <c r="S208" cm="1">
        <f t="array" ref="S208">GetLatitude(U208)</f>
        <v>32.087942400000003</v>
      </c>
      <c r="T208" cm="1">
        <f t="array" ref="T208">GetLongitude(U208)</f>
        <v>75.015112700000003</v>
      </c>
      <c r="U208" t="str">
        <f t="shared" si="9"/>
        <v>Kartarpur Sahib Corridor, Narowal, PK</v>
      </c>
      <c r="V208" t="str" cm="1">
        <f t="array" ref="V208">GetCoordinates(U208)</f>
        <v>32.0879424, 75.0151127</v>
      </c>
      <c r="W208" s="13" cm="1">
        <f t="array" ref="W208">TravelTime(A208,U208,AB208)</f>
        <v>20372</v>
      </c>
      <c r="X208" s="13">
        <f t="shared" si="10"/>
        <v>339.53333333333336</v>
      </c>
      <c r="Y208" s="13" cm="1">
        <f t="array" ref="Y208">TravelDistance(A208,U208,AB208)</f>
        <v>455000</v>
      </c>
      <c r="Z208" s="13" t="str">
        <f t="shared" si="11"/>
        <v>455km</v>
      </c>
      <c r="AA208" s="14" t="s">
        <v>361</v>
      </c>
      <c r="AB208" t="s">
        <v>355</v>
      </c>
    </row>
    <row r="209" spans="1:28" ht="15" x14ac:dyDescent="0.25">
      <c r="A209" s="2" t="s">
        <v>18</v>
      </c>
      <c r="B209" s="2" t="s">
        <v>246</v>
      </c>
      <c r="D209" s="3" t="s">
        <v>28</v>
      </c>
      <c r="E209" s="4" t="s">
        <v>29</v>
      </c>
      <c r="F209" s="4" t="s">
        <v>247</v>
      </c>
      <c r="G209" s="5">
        <v>1</v>
      </c>
      <c r="H209" s="5">
        <v>1</v>
      </c>
      <c r="I209" s="5">
        <v>1</v>
      </c>
      <c r="J209" s="5">
        <v>1</v>
      </c>
      <c r="K209" s="5">
        <v>1</v>
      </c>
      <c r="L209" s="5">
        <v>1</v>
      </c>
      <c r="M209" s="5">
        <v>1</v>
      </c>
      <c r="N209" s="5">
        <v>1</v>
      </c>
      <c r="O209" s="5">
        <v>1</v>
      </c>
      <c r="P209" s="5">
        <v>1</v>
      </c>
      <c r="Q209" s="5">
        <v>0</v>
      </c>
      <c r="R209" s="5">
        <v>0</v>
      </c>
      <c r="S209" cm="1">
        <f t="array" ref="S209">GetLatitude(U209)</f>
        <v>34.010167299999999</v>
      </c>
      <c r="T209" cm="1">
        <f t="array" ref="T209">GetLongitude(U209)</f>
        <v>71.574333999999993</v>
      </c>
      <c r="U209" t="str">
        <f t="shared" si="9"/>
        <v>Chowk Yadgar, Peshawar, PK</v>
      </c>
      <c r="V209" t="str" cm="1">
        <f t="array" ref="V209">GetCoordinates(U209)</f>
        <v>34.0101673, 71.5743340</v>
      </c>
      <c r="W209" s="13" cm="1">
        <f t="array" ref="W209">TravelTime(A209,U209,AB209)</f>
        <v>7824</v>
      </c>
      <c r="X209" s="13">
        <f t="shared" si="10"/>
        <v>130.4</v>
      </c>
      <c r="Y209" s="13" cm="1">
        <f t="array" ref="Y209">TravelDistance(A209,U209,AB209)</f>
        <v>178563</v>
      </c>
      <c r="Z209" s="13" t="str">
        <f t="shared" si="11"/>
        <v>178.56km</v>
      </c>
      <c r="AA209" s="14" t="s">
        <v>361</v>
      </c>
      <c r="AB209" t="s">
        <v>355</v>
      </c>
    </row>
    <row r="210" spans="1:28" ht="15" x14ac:dyDescent="0.25">
      <c r="A210" s="2" t="s">
        <v>18</v>
      </c>
      <c r="B210" s="2" t="s">
        <v>246</v>
      </c>
      <c r="D210" s="3" t="s">
        <v>28</v>
      </c>
      <c r="E210" s="4" t="s">
        <v>103</v>
      </c>
      <c r="F210" s="4" t="s">
        <v>248</v>
      </c>
      <c r="G210" s="5">
        <v>1</v>
      </c>
      <c r="H210" s="5">
        <v>1</v>
      </c>
      <c r="I210" s="5">
        <v>1</v>
      </c>
      <c r="J210" s="5">
        <v>1</v>
      </c>
      <c r="K210" s="5">
        <v>1</v>
      </c>
      <c r="L210" s="5">
        <v>1</v>
      </c>
      <c r="M210" s="5">
        <v>1</v>
      </c>
      <c r="N210" s="5">
        <v>1</v>
      </c>
      <c r="O210" s="5">
        <v>1</v>
      </c>
      <c r="P210" s="5">
        <v>1</v>
      </c>
      <c r="Q210" s="5">
        <v>0</v>
      </c>
      <c r="R210" s="5">
        <v>0</v>
      </c>
      <c r="S210" cm="1">
        <f t="array" ref="S210">GetLatitude(U210)</f>
        <v>34.007829299999997</v>
      </c>
      <c r="T210" cm="1">
        <f t="array" ref="T210">GetLongitude(U210)</f>
        <v>71.558206400000003</v>
      </c>
      <c r="U210" t="str">
        <f t="shared" si="9"/>
        <v>Peshawar Gandhara Museum, Peshawar, PK</v>
      </c>
      <c r="V210" t="str" cm="1">
        <f t="array" ref="V210">GetCoordinates(U210)</f>
        <v>34.0078293, 71.5582064</v>
      </c>
      <c r="W210" s="13" cm="1">
        <f t="array" ref="W210">TravelTime(A210,U210,AB210)</f>
        <v>7878</v>
      </c>
      <c r="X210" s="13">
        <f t="shared" si="10"/>
        <v>131.30000000000001</v>
      </c>
      <c r="Y210" s="13" cm="1">
        <f t="array" ref="Y210">TravelDistance(A210,U210,AB210)</f>
        <v>179835</v>
      </c>
      <c r="Z210" s="13" t="str">
        <f t="shared" si="11"/>
        <v>179.84km</v>
      </c>
      <c r="AA210" s="14" t="s">
        <v>361</v>
      </c>
      <c r="AB210" t="s">
        <v>355</v>
      </c>
    </row>
    <row r="211" spans="1:28" ht="15" x14ac:dyDescent="0.25">
      <c r="A211" s="2" t="s">
        <v>18</v>
      </c>
      <c r="B211" s="2" t="s">
        <v>246</v>
      </c>
      <c r="D211" s="3" t="s">
        <v>28</v>
      </c>
      <c r="E211" s="4" t="s">
        <v>29</v>
      </c>
      <c r="F211" s="4" t="s">
        <v>249</v>
      </c>
      <c r="G211" s="5">
        <v>1</v>
      </c>
      <c r="H211" s="5">
        <v>1</v>
      </c>
      <c r="I211" s="5">
        <v>1</v>
      </c>
      <c r="J211" s="5">
        <v>1</v>
      </c>
      <c r="K211" s="5">
        <v>1</v>
      </c>
      <c r="L211" s="5">
        <v>1</v>
      </c>
      <c r="M211" s="5">
        <v>1</v>
      </c>
      <c r="N211" s="5">
        <v>1</v>
      </c>
      <c r="O211" s="5">
        <v>1</v>
      </c>
      <c r="P211" s="5">
        <v>1</v>
      </c>
      <c r="Q211" s="5">
        <v>0</v>
      </c>
      <c r="R211" s="5">
        <v>0</v>
      </c>
      <c r="S211" cm="1">
        <f t="array" ref="S211">GetLatitude(U211)</f>
        <v>34.094135600000001</v>
      </c>
      <c r="T211" cm="1">
        <f t="array" ref="T211">GetLongitude(U211)</f>
        <v>71.157483900000003</v>
      </c>
      <c r="U211" t="str">
        <f t="shared" si="9"/>
        <v>Khyber Pass, Peshawar, PK</v>
      </c>
      <c r="V211" t="str" cm="1">
        <f t="array" ref="V211">GetCoordinates(U211)</f>
        <v>34.0941356, 71.1574839</v>
      </c>
      <c r="W211" s="13" cm="1">
        <f t="array" ref="W211">TravelTime(A211,U211,AB211)</f>
        <v>11901</v>
      </c>
      <c r="X211" s="13">
        <f t="shared" si="10"/>
        <v>198.35</v>
      </c>
      <c r="Y211" s="13" cm="1">
        <f t="array" ref="Y211">TravelDistance(A211,U211,AB211)</f>
        <v>230489</v>
      </c>
      <c r="Z211" s="13" t="str">
        <f t="shared" si="11"/>
        <v>230.49km</v>
      </c>
      <c r="AA211" s="14" t="s">
        <v>361</v>
      </c>
      <c r="AB211" t="s">
        <v>355</v>
      </c>
    </row>
    <row r="212" spans="1:28" ht="15" x14ac:dyDescent="0.25">
      <c r="A212" s="2" t="s">
        <v>18</v>
      </c>
      <c r="B212" s="2" t="s">
        <v>246</v>
      </c>
      <c r="D212" s="3" t="s">
        <v>28</v>
      </c>
      <c r="E212" s="4" t="s">
        <v>29</v>
      </c>
      <c r="F212" s="4" t="s">
        <v>250</v>
      </c>
      <c r="G212" s="5">
        <v>1</v>
      </c>
      <c r="H212" s="5">
        <v>1</v>
      </c>
      <c r="I212" s="5">
        <v>1</v>
      </c>
      <c r="J212" s="5">
        <v>1</v>
      </c>
      <c r="K212" s="5">
        <v>1</v>
      </c>
      <c r="L212" s="5">
        <v>1</v>
      </c>
      <c r="M212" s="5">
        <v>1</v>
      </c>
      <c r="N212" s="5">
        <v>1</v>
      </c>
      <c r="O212" s="5">
        <v>1</v>
      </c>
      <c r="P212" s="5">
        <v>1</v>
      </c>
      <c r="Q212" s="5">
        <v>0</v>
      </c>
      <c r="R212" s="5">
        <v>0</v>
      </c>
      <c r="S212" cm="1">
        <f t="array" ref="S212">GetLatitude(U212)</f>
        <v>34.000046099999999</v>
      </c>
      <c r="T212" cm="1">
        <f t="array" ref="T212">GetLongitude(U212)</f>
        <v>71.475968199999997</v>
      </c>
      <c r="U212" t="str">
        <f t="shared" si="9"/>
        <v>Islamia College, Peshawar, PK</v>
      </c>
      <c r="V212" t="str" cm="1">
        <f t="array" ref="V212">GetCoordinates(U212)</f>
        <v>34.0000461, 71.4759682</v>
      </c>
      <c r="W212" s="13" cm="1">
        <f t="array" ref="W212">TravelTime(A212,U212,AB212)</f>
        <v>9100</v>
      </c>
      <c r="X212" s="13">
        <f t="shared" si="10"/>
        <v>151.66666666666666</v>
      </c>
      <c r="Y212" s="13" cm="1">
        <f t="array" ref="Y212">TravelDistance(A212,U212,AB212)</f>
        <v>189045</v>
      </c>
      <c r="Z212" s="13" t="str">
        <f t="shared" si="11"/>
        <v>189.05km</v>
      </c>
      <c r="AA212" s="14" t="s">
        <v>361</v>
      </c>
      <c r="AB212" t="s">
        <v>355</v>
      </c>
    </row>
    <row r="213" spans="1:28" ht="15" x14ac:dyDescent="0.25">
      <c r="A213" s="2" t="s">
        <v>18</v>
      </c>
      <c r="B213" s="2" t="s">
        <v>246</v>
      </c>
      <c r="D213" s="3" t="s">
        <v>28</v>
      </c>
      <c r="E213" s="4" t="s">
        <v>103</v>
      </c>
      <c r="F213" s="4" t="s">
        <v>251</v>
      </c>
      <c r="G213" s="5">
        <v>1</v>
      </c>
      <c r="H213" s="5">
        <v>1</v>
      </c>
      <c r="I213" s="5">
        <v>1</v>
      </c>
      <c r="J213" s="5">
        <v>1</v>
      </c>
      <c r="K213" s="5">
        <v>1</v>
      </c>
      <c r="L213" s="5">
        <v>1</v>
      </c>
      <c r="M213" s="5">
        <v>1</v>
      </c>
      <c r="N213" s="5">
        <v>1</v>
      </c>
      <c r="O213" s="5">
        <v>1</v>
      </c>
      <c r="P213" s="5">
        <v>1</v>
      </c>
      <c r="Q213" s="5">
        <v>0</v>
      </c>
      <c r="R213" s="5">
        <v>0</v>
      </c>
      <c r="S213" cm="1">
        <f t="array" ref="S213">GetLatitude(U213)</f>
        <v>34.009264600000002</v>
      </c>
      <c r="T213" cm="1">
        <f t="array" ref="T213">GetLongitude(U213)</f>
        <v>71.578644499999996</v>
      </c>
      <c r="U213" t="str">
        <f t="shared" si="9"/>
        <v>Sethi House Museum, Peshawar, PK</v>
      </c>
      <c r="V213" t="str" cm="1">
        <f t="array" ref="V213">GetCoordinates(U213)</f>
        <v>34.0092646, 71.5786445</v>
      </c>
      <c r="W213" s="13" cm="1">
        <f t="array" ref="W213">TravelTime(A213,U213,AB213)</f>
        <v>7887</v>
      </c>
      <c r="X213" s="13">
        <f t="shared" si="10"/>
        <v>131.44999999999999</v>
      </c>
      <c r="Y213" s="13" cm="1">
        <f t="array" ref="Y213">TravelDistance(A213,U213,AB213)</f>
        <v>178266</v>
      </c>
      <c r="Z213" s="13" t="str">
        <f t="shared" si="11"/>
        <v>178.27km</v>
      </c>
      <c r="AA213" s="14" t="s">
        <v>361</v>
      </c>
      <c r="AB213" t="s">
        <v>355</v>
      </c>
    </row>
    <row r="214" spans="1:28" ht="15" x14ac:dyDescent="0.25">
      <c r="A214" s="2" t="s">
        <v>18</v>
      </c>
      <c r="B214" s="2" t="s">
        <v>246</v>
      </c>
      <c r="D214" s="3" t="s">
        <v>28</v>
      </c>
      <c r="E214" s="4" t="s">
        <v>29</v>
      </c>
      <c r="F214" s="4" t="s">
        <v>252</v>
      </c>
      <c r="G214" s="5">
        <v>1</v>
      </c>
      <c r="H214" s="5">
        <v>1</v>
      </c>
      <c r="I214" s="5">
        <v>1</v>
      </c>
      <c r="J214" s="5">
        <v>1</v>
      </c>
      <c r="K214" s="5">
        <v>1</v>
      </c>
      <c r="L214" s="5">
        <v>1</v>
      </c>
      <c r="M214" s="5">
        <v>1</v>
      </c>
      <c r="N214" s="5">
        <v>1</v>
      </c>
      <c r="O214" s="5">
        <v>1</v>
      </c>
      <c r="P214" s="5">
        <v>1</v>
      </c>
      <c r="Q214" s="5">
        <v>0</v>
      </c>
      <c r="R214" s="5">
        <v>0</v>
      </c>
      <c r="S214" cm="1">
        <f t="array" ref="S214">GetLatitude(U214)</f>
        <v>34.0087817</v>
      </c>
      <c r="T214" cm="1">
        <f t="array" ref="T214">GetLongitude(U214)</f>
        <v>71.581667999999993</v>
      </c>
      <c r="U214" t="str">
        <f t="shared" si="9"/>
        <v>Mughal -Caravanserai Gor Khatri, Peshawar, PK</v>
      </c>
      <c r="V214" t="str" cm="1">
        <f t="array" ref="V214">GetCoordinates(U214)</f>
        <v>34.0087817, 71.5816680</v>
      </c>
      <c r="W214" s="13" cm="1">
        <f t="array" ref="W214">TravelTime(A214,U214,AB214)</f>
        <v>7846</v>
      </c>
      <c r="X214" s="13">
        <f t="shared" si="10"/>
        <v>130.76666666666668</v>
      </c>
      <c r="Y214" s="13" cm="1">
        <f t="array" ref="Y214">TravelDistance(A214,U214,AB214)</f>
        <v>178011</v>
      </c>
      <c r="Z214" s="13" t="str">
        <f t="shared" si="11"/>
        <v>178.01km</v>
      </c>
      <c r="AA214" s="14" t="s">
        <v>361</v>
      </c>
      <c r="AB214" t="s">
        <v>355</v>
      </c>
    </row>
    <row r="215" spans="1:28" ht="15" x14ac:dyDescent="0.25">
      <c r="A215" s="2" t="s">
        <v>18</v>
      </c>
      <c r="B215" s="2" t="s">
        <v>246</v>
      </c>
      <c r="D215" s="3" t="s">
        <v>45</v>
      </c>
      <c r="E215" s="4" t="s">
        <v>21</v>
      </c>
      <c r="F215" s="4" t="s">
        <v>253</v>
      </c>
      <c r="G215" s="5">
        <v>1</v>
      </c>
      <c r="H215" s="5">
        <v>1</v>
      </c>
      <c r="I215" s="5">
        <v>1</v>
      </c>
      <c r="J215" s="5">
        <v>1</v>
      </c>
      <c r="K215" s="5">
        <v>1</v>
      </c>
      <c r="L215" s="5">
        <v>1</v>
      </c>
      <c r="M215" s="5">
        <v>1</v>
      </c>
      <c r="N215" s="5">
        <v>1</v>
      </c>
      <c r="O215" s="5">
        <v>1</v>
      </c>
      <c r="P215" s="5">
        <v>1</v>
      </c>
      <c r="Q215" s="5">
        <v>0</v>
      </c>
      <c r="R215" s="5">
        <v>0</v>
      </c>
      <c r="S215" cm="1">
        <f t="array" ref="S215">GetLatitude(U215)</f>
        <v>34.164012499999998</v>
      </c>
      <c r="T215" cm="1">
        <f t="array" ref="T215">GetLongitude(U215)</f>
        <v>71.358500000000006</v>
      </c>
      <c r="U215" t="str">
        <f t="shared" si="9"/>
        <v>Warsak Dam, Peshawar, PK</v>
      </c>
      <c r="V215" t="str" cm="1">
        <f t="array" ref="V215">GetCoordinates(U215)</f>
        <v>34.1640125, 71.3585000</v>
      </c>
      <c r="W215" s="13" cm="1">
        <f t="array" ref="W215">TravelTime(A215,U215,AB215)</f>
        <v>10223</v>
      </c>
      <c r="X215" s="13">
        <f t="shared" si="10"/>
        <v>170.38333333333333</v>
      </c>
      <c r="Y215" s="13" cm="1">
        <f t="array" ref="Y215">TravelDistance(A215,U215,AB215)</f>
        <v>207239</v>
      </c>
      <c r="Z215" s="13" t="str">
        <f t="shared" si="11"/>
        <v>207.24km</v>
      </c>
      <c r="AA215" s="14" t="s">
        <v>361</v>
      </c>
      <c r="AB215" t="s">
        <v>355</v>
      </c>
    </row>
    <row r="216" spans="1:28" ht="15" x14ac:dyDescent="0.25">
      <c r="A216" s="2" t="s">
        <v>18</v>
      </c>
      <c r="B216" s="2" t="s">
        <v>246</v>
      </c>
      <c r="D216" s="3" t="s">
        <v>28</v>
      </c>
      <c r="E216" s="4" t="s">
        <v>29</v>
      </c>
      <c r="F216" s="4" t="s">
        <v>254</v>
      </c>
      <c r="G216" s="5">
        <v>1</v>
      </c>
      <c r="H216" s="5">
        <v>1</v>
      </c>
      <c r="I216" s="5">
        <v>1</v>
      </c>
      <c r="J216" s="5">
        <v>1</v>
      </c>
      <c r="K216" s="5">
        <v>1</v>
      </c>
      <c r="L216" s="5">
        <v>1</v>
      </c>
      <c r="M216" s="5">
        <v>1</v>
      </c>
      <c r="N216" s="5">
        <v>1</v>
      </c>
      <c r="O216" s="5">
        <v>1</v>
      </c>
      <c r="P216" s="5">
        <v>1</v>
      </c>
      <c r="Q216" s="5">
        <v>0</v>
      </c>
      <c r="R216" s="5">
        <v>0</v>
      </c>
      <c r="S216" cm="1">
        <f t="array" ref="S216">GetLatitude(U216)</f>
        <v>34.010615000000001</v>
      </c>
      <c r="T216" cm="1">
        <f t="array" ref="T216">GetLongitude(U216)</f>
        <v>71.573205299999998</v>
      </c>
      <c r="U216" t="str">
        <f t="shared" si="9"/>
        <v>Mahabat Khan's Mosque, Peshawar, PK</v>
      </c>
      <c r="V216" t="str" cm="1">
        <f t="array" ref="V216">GetCoordinates(U216)</f>
        <v>34.0106150, 71.5732053</v>
      </c>
      <c r="W216" s="13" cm="1">
        <f t="array" ref="W216">TravelTime(A216,U216,AB216)</f>
        <v>7844</v>
      </c>
      <c r="X216" s="13">
        <f t="shared" si="10"/>
        <v>130.73333333333332</v>
      </c>
      <c r="Y216" s="13" cm="1">
        <f t="array" ref="Y216">TravelDistance(A216,U216,AB216)</f>
        <v>178898</v>
      </c>
      <c r="Z216" s="13" t="str">
        <f t="shared" si="11"/>
        <v>178.9km</v>
      </c>
      <c r="AA216" s="14" t="s">
        <v>361</v>
      </c>
      <c r="AB216" t="s">
        <v>355</v>
      </c>
    </row>
    <row r="217" spans="1:28" ht="15" x14ac:dyDescent="0.25">
      <c r="A217" s="2" t="s">
        <v>18</v>
      </c>
      <c r="B217" s="2" t="s">
        <v>246</v>
      </c>
      <c r="D217" s="3" t="s">
        <v>45</v>
      </c>
      <c r="E217" s="4" t="s">
        <v>29</v>
      </c>
      <c r="F217" s="4" t="s">
        <v>255</v>
      </c>
      <c r="G217" s="5">
        <v>1</v>
      </c>
      <c r="H217" s="5">
        <v>1</v>
      </c>
      <c r="I217" s="5">
        <v>1</v>
      </c>
      <c r="J217" s="5">
        <v>1</v>
      </c>
      <c r="K217" s="5">
        <v>1</v>
      </c>
      <c r="L217" s="5">
        <v>1</v>
      </c>
      <c r="M217" s="5">
        <v>1</v>
      </c>
      <c r="N217" s="5">
        <v>1</v>
      </c>
      <c r="O217" s="5">
        <v>1</v>
      </c>
      <c r="P217" s="5">
        <v>1</v>
      </c>
      <c r="Q217" s="5">
        <v>0</v>
      </c>
      <c r="R217" s="5">
        <v>0</v>
      </c>
      <c r="S217" cm="1">
        <f t="array" ref="S217">GetLatitude(U217)</f>
        <v>34.003429099999998</v>
      </c>
      <c r="T217" cm="1">
        <f t="array" ref="T217">GetLongitude(U217)</f>
        <v>71.378355099999993</v>
      </c>
      <c r="U217" t="str">
        <f t="shared" si="9"/>
        <v>Jamrud Fort, Peshawar, PK</v>
      </c>
      <c r="V217" t="str" cm="1">
        <f t="array" ref="V217">GetCoordinates(U217)</f>
        <v>34.0034291, 71.3783551</v>
      </c>
      <c r="W217" s="13" cm="1">
        <f t="array" ref="W217">TravelTime(A217,U217,AB217)</f>
        <v>9919</v>
      </c>
      <c r="X217" s="13">
        <f t="shared" si="10"/>
        <v>165.31666666666666</v>
      </c>
      <c r="Y217" s="13" cm="1">
        <f t="array" ref="Y217">TravelDistance(A217,U217,AB217)</f>
        <v>202539</v>
      </c>
      <c r="Z217" s="13" t="str">
        <f t="shared" si="11"/>
        <v>202.54km</v>
      </c>
      <c r="AA217" s="14" t="s">
        <v>361</v>
      </c>
      <c r="AB217" t="s">
        <v>355</v>
      </c>
    </row>
    <row r="218" spans="1:28" ht="15" x14ac:dyDescent="0.25">
      <c r="A218" s="2" t="s">
        <v>18</v>
      </c>
      <c r="B218" s="2" t="s">
        <v>246</v>
      </c>
      <c r="D218" s="3" t="s">
        <v>28</v>
      </c>
      <c r="E218" s="4" t="s">
        <v>29</v>
      </c>
      <c r="F218" s="4" t="s">
        <v>256</v>
      </c>
      <c r="G218" s="5">
        <v>1</v>
      </c>
      <c r="H218" s="5">
        <v>1</v>
      </c>
      <c r="I218" s="5">
        <v>1</v>
      </c>
      <c r="J218" s="5">
        <v>1</v>
      </c>
      <c r="K218" s="5">
        <v>1</v>
      </c>
      <c r="L218" s="5">
        <v>1</v>
      </c>
      <c r="M218" s="5">
        <v>1</v>
      </c>
      <c r="N218" s="5">
        <v>1</v>
      </c>
      <c r="O218" s="5">
        <v>1</v>
      </c>
      <c r="P218" s="5">
        <v>1</v>
      </c>
      <c r="Q218" s="5">
        <v>0</v>
      </c>
      <c r="R218" s="5">
        <v>0</v>
      </c>
      <c r="S218" cm="1">
        <f t="array" ref="S218">GetLatitude(U218)</f>
        <v>34.009311199999999</v>
      </c>
      <c r="T218" cm="1">
        <f t="array" ref="T218">GetLongitude(U218)</f>
        <v>71.578749299999998</v>
      </c>
      <c r="U218" t="str">
        <f t="shared" si="9"/>
        <v>Sethi Street, Peshawar, PK</v>
      </c>
      <c r="V218" t="str" cm="1">
        <f t="array" ref="V218">GetCoordinates(U218)</f>
        <v>34.0093112, 71.5787493</v>
      </c>
      <c r="W218" s="13" cm="1">
        <f t="array" ref="W218">TravelTime(A218,U218,AB218)</f>
        <v>7884</v>
      </c>
      <c r="X218" s="13">
        <f t="shared" si="10"/>
        <v>131.4</v>
      </c>
      <c r="Y218" s="13" cm="1">
        <f t="array" ref="Y218">TravelDistance(A218,U218,AB218)</f>
        <v>178255</v>
      </c>
      <c r="Z218" s="13" t="str">
        <f t="shared" si="11"/>
        <v>178.26km</v>
      </c>
      <c r="AA218" s="14" t="s">
        <v>361</v>
      </c>
      <c r="AB218" t="s">
        <v>355</v>
      </c>
    </row>
    <row r="219" spans="1:28" ht="15" x14ac:dyDescent="0.25">
      <c r="A219" s="2" t="s">
        <v>18</v>
      </c>
      <c r="B219" s="2" t="s">
        <v>246</v>
      </c>
      <c r="D219" s="3" t="s">
        <v>28</v>
      </c>
      <c r="E219" s="4" t="s">
        <v>29</v>
      </c>
      <c r="F219" s="4" t="s">
        <v>257</v>
      </c>
      <c r="G219" s="5">
        <v>1</v>
      </c>
      <c r="H219" s="5">
        <v>1</v>
      </c>
      <c r="I219" s="5">
        <v>1</v>
      </c>
      <c r="J219" s="5">
        <v>1</v>
      </c>
      <c r="K219" s="5">
        <v>1</v>
      </c>
      <c r="L219" s="5">
        <v>1</v>
      </c>
      <c r="M219" s="5">
        <v>1</v>
      </c>
      <c r="N219" s="5">
        <v>1</v>
      </c>
      <c r="O219" s="5">
        <v>1</v>
      </c>
      <c r="P219" s="5">
        <v>1</v>
      </c>
      <c r="Q219" s="5">
        <v>0</v>
      </c>
      <c r="R219" s="5">
        <v>0</v>
      </c>
      <c r="S219" cm="1">
        <f t="array" ref="S219">GetLatitude(U219)</f>
        <v>34.0091289</v>
      </c>
      <c r="T219" cm="1">
        <f t="array" ref="T219">GetLongitude(U219)</f>
        <v>71.556253100000006</v>
      </c>
      <c r="U219" t="str">
        <f t="shared" si="9"/>
        <v>Governor's House, Peshawar, PK</v>
      </c>
      <c r="V219" t="str" cm="1">
        <f t="array" ref="V219">GetCoordinates(U219)</f>
        <v>34.0091289, 71.5562531</v>
      </c>
      <c r="W219" s="13" cm="1">
        <f t="array" ref="W219">TravelTime(A219,U219,AB219)</f>
        <v>8018</v>
      </c>
      <c r="X219" s="13">
        <f t="shared" si="10"/>
        <v>133.63333333333333</v>
      </c>
      <c r="Y219" s="13" cm="1">
        <f t="array" ref="Y219">TravelDistance(A219,U219,AB219)</f>
        <v>180559</v>
      </c>
      <c r="Z219" s="13" t="str">
        <f t="shared" si="11"/>
        <v>180.56km</v>
      </c>
      <c r="AA219" s="14" t="s">
        <v>361</v>
      </c>
      <c r="AB219" t="s">
        <v>355</v>
      </c>
    </row>
    <row r="220" spans="1:28" ht="15" x14ac:dyDescent="0.25">
      <c r="A220" s="2" t="s">
        <v>18</v>
      </c>
      <c r="B220" s="2" t="s">
        <v>246</v>
      </c>
      <c r="D220" s="3" t="s">
        <v>88</v>
      </c>
      <c r="E220" s="4" t="s">
        <v>21</v>
      </c>
      <c r="F220" s="4" t="s">
        <v>258</v>
      </c>
      <c r="G220" s="5">
        <v>1</v>
      </c>
      <c r="H220" s="5">
        <v>1</v>
      </c>
      <c r="I220" s="5">
        <v>1</v>
      </c>
      <c r="J220" s="5">
        <v>1</v>
      </c>
      <c r="K220" s="5">
        <v>1</v>
      </c>
      <c r="L220" s="5">
        <v>1</v>
      </c>
      <c r="M220" s="5">
        <v>1</v>
      </c>
      <c r="N220" s="5">
        <v>1</v>
      </c>
      <c r="O220" s="5">
        <v>1</v>
      </c>
      <c r="P220" s="5">
        <v>1</v>
      </c>
      <c r="Q220" s="5">
        <v>0</v>
      </c>
      <c r="R220" s="5">
        <v>0</v>
      </c>
      <c r="S220" cm="1">
        <f t="array" ref="S220">GetLatitude(U220)</f>
        <v>33.981539400000003</v>
      </c>
      <c r="T220" cm="1">
        <f t="array" ref="T220">GetLongitude(U220)</f>
        <v>71.444641599999997</v>
      </c>
      <c r="U220" t="str">
        <f t="shared" si="9"/>
        <v>Tatara Park, Peshawar, PK</v>
      </c>
      <c r="V220" t="str" cm="1">
        <f t="array" ref="V220">GetCoordinates(U220)</f>
        <v>33.9815394, 71.4446416</v>
      </c>
      <c r="W220" s="13" cm="1">
        <f t="array" ref="W220">TravelTime(A220,U220,AB220)</f>
        <v>9087</v>
      </c>
      <c r="X220" s="13">
        <f t="shared" si="10"/>
        <v>151.44999999999999</v>
      </c>
      <c r="Y220" s="13" cm="1">
        <f t="array" ref="Y220">TravelDistance(A220,U220,AB220)</f>
        <v>195763</v>
      </c>
      <c r="Z220" s="13" t="str">
        <f t="shared" si="11"/>
        <v>195.76km</v>
      </c>
      <c r="AA220" s="14" t="s">
        <v>361</v>
      </c>
      <c r="AB220" t="s">
        <v>355</v>
      </c>
    </row>
    <row r="221" spans="1:28" ht="15" x14ac:dyDescent="0.25">
      <c r="A221" s="2" t="s">
        <v>18</v>
      </c>
      <c r="B221" s="2" t="s">
        <v>246</v>
      </c>
      <c r="D221" s="3" t="s">
        <v>28</v>
      </c>
      <c r="E221" s="4" t="s">
        <v>29</v>
      </c>
      <c r="F221" s="4" t="s">
        <v>259</v>
      </c>
      <c r="G221" s="5">
        <v>1</v>
      </c>
      <c r="H221" s="5">
        <v>1</v>
      </c>
      <c r="I221" s="5">
        <v>1</v>
      </c>
      <c r="J221" s="5">
        <v>1</v>
      </c>
      <c r="K221" s="5">
        <v>1</v>
      </c>
      <c r="L221" s="5">
        <v>1</v>
      </c>
      <c r="M221" s="5">
        <v>1</v>
      </c>
      <c r="N221" s="5">
        <v>1</v>
      </c>
      <c r="O221" s="5">
        <v>1</v>
      </c>
      <c r="P221" s="5">
        <v>1</v>
      </c>
      <c r="Q221" s="5">
        <v>0</v>
      </c>
      <c r="R221" s="5">
        <v>0</v>
      </c>
      <c r="S221" cm="1">
        <f t="array" ref="S221">GetLatitude(U221)</f>
        <v>33.912821200000003</v>
      </c>
      <c r="T221" cm="1">
        <f t="array" ref="T221">GetLongitude(U221)</f>
        <v>71.557788200000005</v>
      </c>
      <c r="U221" t="str">
        <f t="shared" si="9"/>
        <v>Kohat Pass : Tribal Gun Factories, Peshawar, PK</v>
      </c>
      <c r="V221" t="str" cm="1">
        <f t="array" ref="V221">GetCoordinates(U221)</f>
        <v>33.9128212, 71.5577882</v>
      </c>
      <c r="W221" s="13" cm="1">
        <f t="array" ref="W221">TravelTime(A221,U221,AB221)</f>
        <v>8672</v>
      </c>
      <c r="X221" s="13">
        <f t="shared" si="10"/>
        <v>144.53333333333333</v>
      </c>
      <c r="Y221" s="13" cm="1">
        <f t="array" ref="Y221">TravelDistance(A221,U221,AB221)</f>
        <v>188414</v>
      </c>
      <c r="Z221" s="13" t="str">
        <f t="shared" si="11"/>
        <v>188.41km</v>
      </c>
      <c r="AA221" s="14" t="s">
        <v>361</v>
      </c>
      <c r="AB221" t="s">
        <v>355</v>
      </c>
    </row>
    <row r="222" spans="1:28" ht="15" x14ac:dyDescent="0.25">
      <c r="A222" s="2" t="s">
        <v>18</v>
      </c>
      <c r="B222" s="2" t="s">
        <v>246</v>
      </c>
      <c r="D222" s="3" t="s">
        <v>28</v>
      </c>
      <c r="E222" s="4" t="s">
        <v>36</v>
      </c>
      <c r="F222" s="4" t="s">
        <v>260</v>
      </c>
      <c r="G222" s="5">
        <v>1</v>
      </c>
      <c r="H222" s="5">
        <v>1</v>
      </c>
      <c r="I222" s="5">
        <v>1</v>
      </c>
      <c r="J222" s="5">
        <v>1</v>
      </c>
      <c r="K222" s="5">
        <v>1</v>
      </c>
      <c r="L222" s="5">
        <v>1</v>
      </c>
      <c r="M222" s="5">
        <v>1</v>
      </c>
      <c r="N222" s="5">
        <v>1</v>
      </c>
      <c r="O222" s="5">
        <v>1</v>
      </c>
      <c r="P222" s="5">
        <v>1</v>
      </c>
      <c r="Q222" s="5">
        <v>0</v>
      </c>
      <c r="R222" s="5">
        <v>0</v>
      </c>
      <c r="S222" cm="1">
        <f t="array" ref="S222">GetLatitude(U222)</f>
        <v>34.007875300000002</v>
      </c>
      <c r="T222" cm="1">
        <f t="array" ref="T222">GetLongitude(U222)</f>
        <v>71.570355300000003</v>
      </c>
      <c r="U222" t="str">
        <f t="shared" si="9"/>
        <v>Qissa Khawani Bazaar, Peshawar, PK</v>
      </c>
      <c r="V222" t="str" cm="1">
        <f t="array" ref="V222">GetCoordinates(U222)</f>
        <v>34.0078753, 71.5703553</v>
      </c>
      <c r="W222" s="13" cm="1">
        <f t="array" ref="W222">TravelTime(A222,U222,AB222)</f>
        <v>7973</v>
      </c>
      <c r="X222" s="13">
        <f t="shared" si="10"/>
        <v>132.88333333333333</v>
      </c>
      <c r="Y222" s="13" cm="1">
        <f t="array" ref="Y222">TravelDistance(A222,U222,AB222)</f>
        <v>179643</v>
      </c>
      <c r="Z222" s="13" t="str">
        <f t="shared" si="11"/>
        <v>179.64km</v>
      </c>
      <c r="AA222" s="14" t="s">
        <v>361</v>
      </c>
      <c r="AB222" t="s">
        <v>355</v>
      </c>
    </row>
    <row r="223" spans="1:28" ht="15" x14ac:dyDescent="0.25">
      <c r="A223" s="2" t="s">
        <v>18</v>
      </c>
      <c r="B223" s="2" t="s">
        <v>246</v>
      </c>
      <c r="D223" s="3" t="s">
        <v>28</v>
      </c>
      <c r="E223" s="4" t="s">
        <v>29</v>
      </c>
      <c r="F223" s="4" t="s">
        <v>261</v>
      </c>
      <c r="G223" s="5">
        <v>1</v>
      </c>
      <c r="H223" s="5">
        <v>1</v>
      </c>
      <c r="I223" s="5">
        <v>1</v>
      </c>
      <c r="J223" s="5">
        <v>1</v>
      </c>
      <c r="K223" s="5">
        <v>1</v>
      </c>
      <c r="L223" s="5">
        <v>1</v>
      </c>
      <c r="M223" s="5">
        <v>1</v>
      </c>
      <c r="N223" s="5">
        <v>1</v>
      </c>
      <c r="O223" s="5">
        <v>1</v>
      </c>
      <c r="P223" s="5">
        <v>1</v>
      </c>
      <c r="Q223" s="5">
        <v>0</v>
      </c>
      <c r="R223" s="5">
        <v>0</v>
      </c>
      <c r="S223" cm="1">
        <f t="array" ref="S223">GetLatitude(U223)</f>
        <v>34.013002</v>
      </c>
      <c r="T223" cm="1">
        <f t="array" ref="T223">GetLongitude(U223)</f>
        <v>71.569798899999995</v>
      </c>
      <c r="U223" t="str">
        <f t="shared" si="9"/>
        <v>Fort Bala Hisar, Peshawar, PK</v>
      </c>
      <c r="V223" t="str" cm="1">
        <f t="array" ref="V223">GetCoordinates(U223)</f>
        <v>34.0130020, 71.5697989</v>
      </c>
      <c r="W223" s="13" cm="1">
        <f t="array" ref="W223">TravelTime(A223,U223,AB223)</f>
        <v>7739</v>
      </c>
      <c r="X223" s="13">
        <f t="shared" si="10"/>
        <v>128.98333333333332</v>
      </c>
      <c r="Y223" s="13" cm="1">
        <f t="array" ref="Y223">TravelDistance(A223,U223,AB223)</f>
        <v>178648</v>
      </c>
      <c r="Z223" s="13" t="str">
        <f t="shared" si="11"/>
        <v>178.65km</v>
      </c>
      <c r="AA223" s="14" t="s">
        <v>361</v>
      </c>
      <c r="AB223" t="s">
        <v>355</v>
      </c>
    </row>
    <row r="224" spans="1:28" ht="15" x14ac:dyDescent="0.25">
      <c r="A224" s="2" t="s">
        <v>18</v>
      </c>
      <c r="B224" s="2" t="s">
        <v>246</v>
      </c>
      <c r="D224" s="3" t="s">
        <v>28</v>
      </c>
      <c r="E224" s="4" t="s">
        <v>29</v>
      </c>
      <c r="F224" s="4" t="s">
        <v>262</v>
      </c>
      <c r="G224" s="5">
        <v>1</v>
      </c>
      <c r="H224" s="5">
        <v>1</v>
      </c>
      <c r="I224" s="5">
        <v>1</v>
      </c>
      <c r="J224" s="5">
        <v>1</v>
      </c>
      <c r="K224" s="5">
        <v>1</v>
      </c>
      <c r="L224" s="5">
        <v>1</v>
      </c>
      <c r="M224" s="5">
        <v>1</v>
      </c>
      <c r="N224" s="5">
        <v>1</v>
      </c>
      <c r="O224" s="5">
        <v>1</v>
      </c>
      <c r="P224" s="5">
        <v>1</v>
      </c>
      <c r="Q224" s="5">
        <v>0</v>
      </c>
      <c r="R224" s="5">
        <v>0</v>
      </c>
      <c r="S224" cm="1">
        <f t="array" ref="S224">GetLatitude(U224)</f>
        <v>34.009792099999999</v>
      </c>
      <c r="T224" cm="1">
        <f t="array" ref="T224">GetLongitude(U224)</f>
        <v>71.575732299999999</v>
      </c>
      <c r="U224" t="str">
        <f t="shared" si="9"/>
        <v>Cunningham Clock Tower, Peshawar, PK</v>
      </c>
      <c r="V224" t="str" cm="1">
        <f t="array" ref="V224">GetCoordinates(U224)</f>
        <v>34.0097921, 71.5757323</v>
      </c>
      <c r="W224" s="13" cm="1">
        <f t="array" ref="W224">TravelTime(A224,U224,AB224)</f>
        <v>7929</v>
      </c>
      <c r="X224" s="13">
        <f t="shared" si="10"/>
        <v>132.15</v>
      </c>
      <c r="Y224" s="13" cm="1">
        <f t="array" ref="Y224">TravelDistance(A224,U224,AB224)</f>
        <v>178697</v>
      </c>
      <c r="Z224" s="13" t="str">
        <f t="shared" si="11"/>
        <v>178.7km</v>
      </c>
      <c r="AA224" s="14" t="s">
        <v>361</v>
      </c>
      <c r="AB224" t="s">
        <v>355</v>
      </c>
    </row>
    <row r="225" spans="1:28" ht="15" x14ac:dyDescent="0.25">
      <c r="A225" s="2" t="s">
        <v>18</v>
      </c>
      <c r="B225" s="2" t="s">
        <v>246</v>
      </c>
      <c r="D225" s="3" t="s">
        <v>28</v>
      </c>
      <c r="E225" s="4" t="s">
        <v>21</v>
      </c>
      <c r="F225" s="4" t="s">
        <v>263</v>
      </c>
      <c r="G225" s="5">
        <v>1</v>
      </c>
      <c r="H225" s="5">
        <v>1</v>
      </c>
      <c r="I225" s="5">
        <v>1</v>
      </c>
      <c r="J225" s="5">
        <v>1</v>
      </c>
      <c r="K225" s="5">
        <v>1</v>
      </c>
      <c r="L225" s="5">
        <v>1</v>
      </c>
      <c r="M225" s="5">
        <v>1</v>
      </c>
      <c r="N225" s="5">
        <v>1</v>
      </c>
      <c r="O225" s="5">
        <v>1</v>
      </c>
      <c r="P225" s="5">
        <v>1</v>
      </c>
      <c r="Q225" s="5">
        <v>0</v>
      </c>
      <c r="R225" s="5">
        <v>0</v>
      </c>
      <c r="S225" cm="1">
        <f t="array" ref="S225">GetLatitude(U225)</f>
        <v>34.022272999999998</v>
      </c>
      <c r="T225" cm="1">
        <f t="array" ref="T225">GetLongitude(U225)</f>
        <v>71.575584899999996</v>
      </c>
      <c r="U225" t="str">
        <f t="shared" si="9"/>
        <v>Shahi Bagh Gardens, Peshawar, PK</v>
      </c>
      <c r="V225" t="str" cm="1">
        <f t="array" ref="V225">GetCoordinates(U225)</f>
        <v>34.0222730, 71.5755849</v>
      </c>
      <c r="W225" s="13" cm="1">
        <f t="array" ref="W225">TravelTime(A225,U225,AB225)</f>
        <v>7803</v>
      </c>
      <c r="X225" s="13">
        <f t="shared" si="10"/>
        <v>130.05000000000001</v>
      </c>
      <c r="Y225" s="13" cm="1">
        <f t="array" ref="Y225">TravelDistance(A225,U225,AB225)</f>
        <v>179178</v>
      </c>
      <c r="Z225" s="13" t="str">
        <f t="shared" si="11"/>
        <v>179.18km</v>
      </c>
      <c r="AA225" s="14" t="s">
        <v>361</v>
      </c>
      <c r="AB225" t="s">
        <v>355</v>
      </c>
    </row>
    <row r="226" spans="1:28" ht="15" x14ac:dyDescent="0.25">
      <c r="A226" s="2" t="s">
        <v>18</v>
      </c>
      <c r="B226" s="2" t="s">
        <v>246</v>
      </c>
      <c r="D226" s="3" t="s">
        <v>20</v>
      </c>
      <c r="E226" s="4" t="s">
        <v>25</v>
      </c>
      <c r="F226" s="4" t="s">
        <v>264</v>
      </c>
      <c r="G226" s="5">
        <v>1</v>
      </c>
      <c r="H226" s="5">
        <v>1</v>
      </c>
      <c r="I226" s="5">
        <v>1</v>
      </c>
      <c r="J226" s="5">
        <v>1</v>
      </c>
      <c r="K226" s="5">
        <v>1</v>
      </c>
      <c r="L226" s="5">
        <v>1</v>
      </c>
      <c r="M226" s="5">
        <v>1</v>
      </c>
      <c r="N226" s="5">
        <v>1</v>
      </c>
      <c r="O226" s="5">
        <v>1</v>
      </c>
      <c r="P226" s="5">
        <v>1</v>
      </c>
      <c r="Q226" s="5">
        <v>0</v>
      </c>
      <c r="R226" s="5">
        <v>0</v>
      </c>
      <c r="S226" cm="1">
        <f t="array" ref="S226">GetLatitude(U226)</f>
        <v>34.016956899999997</v>
      </c>
      <c r="T226" cm="1">
        <f t="array" ref="T226">GetLongitude(U226)</f>
        <v>71.490008799999998</v>
      </c>
      <c r="U226" t="str">
        <f t="shared" si="9"/>
        <v>Peshawar Zoo, Peshawar, PK</v>
      </c>
      <c r="V226" t="str" cm="1">
        <f t="array" ref="V226">GetCoordinates(U226)</f>
        <v>34.0169569, 71.4900088</v>
      </c>
      <c r="W226" s="13" cm="1">
        <f t="array" ref="W226">TravelTime(A226,U226,AB226)</f>
        <v>9261</v>
      </c>
      <c r="X226" s="13">
        <f t="shared" si="10"/>
        <v>154.35</v>
      </c>
      <c r="Y226" s="13" cm="1">
        <f t="array" ref="Y226">TravelDistance(A226,U226,AB226)</f>
        <v>189889</v>
      </c>
      <c r="Z226" s="13" t="str">
        <f t="shared" si="11"/>
        <v>189.89km</v>
      </c>
      <c r="AA226" s="14" t="s">
        <v>361</v>
      </c>
      <c r="AB226" t="s">
        <v>355</v>
      </c>
    </row>
    <row r="227" spans="1:28" ht="15" x14ac:dyDescent="0.25">
      <c r="A227" s="2" t="s">
        <v>18</v>
      </c>
      <c r="B227" s="2" t="s">
        <v>246</v>
      </c>
      <c r="D227" s="3" t="s">
        <v>31</v>
      </c>
      <c r="E227" s="4" t="s">
        <v>21</v>
      </c>
      <c r="F227" s="4" t="s">
        <v>265</v>
      </c>
      <c r="G227" s="5">
        <v>1</v>
      </c>
      <c r="H227" s="5">
        <v>1</v>
      </c>
      <c r="I227" s="5">
        <v>1</v>
      </c>
      <c r="J227" s="5">
        <v>1</v>
      </c>
      <c r="K227" s="5">
        <v>1</v>
      </c>
      <c r="L227" s="5">
        <v>1</v>
      </c>
      <c r="M227" s="5">
        <v>1</v>
      </c>
      <c r="N227" s="5">
        <v>1</v>
      </c>
      <c r="O227" s="5">
        <v>1</v>
      </c>
      <c r="P227" s="5">
        <v>1</v>
      </c>
      <c r="Q227" s="5">
        <v>0</v>
      </c>
      <c r="R227" s="5">
        <v>0</v>
      </c>
      <c r="S227" cm="1">
        <f t="array" ref="S227">GetLatitude(U227)</f>
        <v>33.998832299999997</v>
      </c>
      <c r="T227" cm="1">
        <f t="array" ref="T227">GetLongitude(U227)</f>
        <v>71.571656399999995</v>
      </c>
      <c r="U227" t="str">
        <f t="shared" si="9"/>
        <v>Wazir Bagh Gardens, Peshawar, PK</v>
      </c>
      <c r="V227" t="str" cm="1">
        <f t="array" ref="V227">GetCoordinates(U227)</f>
        <v>33.9988323, 71.5716564</v>
      </c>
      <c r="W227" s="13" cm="1">
        <f t="array" ref="W227">TravelTime(A227,U227,AB227)</f>
        <v>8208</v>
      </c>
      <c r="X227" s="13">
        <f t="shared" si="10"/>
        <v>136.80000000000001</v>
      </c>
      <c r="Y227" s="13" cm="1">
        <f t="array" ref="Y227">TravelDistance(A227,U227,AB227)</f>
        <v>180930</v>
      </c>
      <c r="Z227" s="13" t="str">
        <f t="shared" si="11"/>
        <v>180.93km</v>
      </c>
      <c r="AA227" s="14" t="s">
        <v>361</v>
      </c>
      <c r="AB227" t="s">
        <v>355</v>
      </c>
    </row>
    <row r="228" spans="1:28" ht="15" x14ac:dyDescent="0.25">
      <c r="A228" s="2" t="s">
        <v>18</v>
      </c>
      <c r="B228" s="2" t="s">
        <v>246</v>
      </c>
      <c r="D228" s="3" t="s">
        <v>31</v>
      </c>
      <c r="E228" s="4" t="s">
        <v>21</v>
      </c>
      <c r="F228" s="4" t="s">
        <v>266</v>
      </c>
      <c r="G228" s="5">
        <v>1</v>
      </c>
      <c r="H228" s="5">
        <v>1</v>
      </c>
      <c r="I228" s="5">
        <v>1</v>
      </c>
      <c r="J228" s="5">
        <v>1</v>
      </c>
      <c r="K228" s="5">
        <v>1</v>
      </c>
      <c r="L228" s="5">
        <v>1</v>
      </c>
      <c r="M228" s="5">
        <v>1</v>
      </c>
      <c r="N228" s="5">
        <v>1</v>
      </c>
      <c r="O228" s="5">
        <v>1</v>
      </c>
      <c r="P228" s="5">
        <v>1</v>
      </c>
      <c r="Q228" s="5">
        <v>0</v>
      </c>
      <c r="R228" s="5">
        <v>0</v>
      </c>
      <c r="S228" cm="1">
        <f t="array" ref="S228">GetLatitude(U228)</f>
        <v>34.003699699999999</v>
      </c>
      <c r="T228" cm="1">
        <f t="array" ref="T228">GetLongitude(U228)</f>
        <v>71.540869299999997</v>
      </c>
      <c r="U228" t="str">
        <f t="shared" si="9"/>
        <v>Khalid Bin Waled Park, Peshawar, PK</v>
      </c>
      <c r="V228" t="str" cm="1">
        <f t="array" ref="V228">GetCoordinates(U228)</f>
        <v>34.0036997, 71.5408693</v>
      </c>
      <c r="W228" s="13" cm="1">
        <f t="array" ref="W228">TravelTime(A228,U228,AB228)</f>
        <v>8209</v>
      </c>
      <c r="X228" s="13">
        <f t="shared" si="10"/>
        <v>136.81666666666666</v>
      </c>
      <c r="Y228" s="13" cm="1">
        <f t="array" ref="Y228">TravelDistance(A228,U228,AB228)</f>
        <v>181732</v>
      </c>
      <c r="Z228" s="13" t="str">
        <f t="shared" si="11"/>
        <v>181.73km</v>
      </c>
      <c r="AA228" s="14" t="s">
        <v>361</v>
      </c>
      <c r="AB228" t="s">
        <v>355</v>
      </c>
    </row>
    <row r="229" spans="1:28" ht="15" x14ac:dyDescent="0.25">
      <c r="A229" s="2" t="s">
        <v>18</v>
      </c>
      <c r="B229" s="2" t="s">
        <v>246</v>
      </c>
      <c r="D229" s="3" t="s">
        <v>28</v>
      </c>
      <c r="E229" s="4" t="s">
        <v>103</v>
      </c>
      <c r="F229" s="4" t="s">
        <v>267</v>
      </c>
      <c r="G229" s="5">
        <v>1</v>
      </c>
      <c r="H229" s="5">
        <v>1</v>
      </c>
      <c r="I229" s="5">
        <v>1</v>
      </c>
      <c r="J229" s="5">
        <v>1</v>
      </c>
      <c r="K229" s="5">
        <v>1</v>
      </c>
      <c r="L229" s="5">
        <v>1</v>
      </c>
      <c r="M229" s="5">
        <v>1</v>
      </c>
      <c r="N229" s="5">
        <v>1</v>
      </c>
      <c r="O229" s="5">
        <v>1</v>
      </c>
      <c r="P229" s="5">
        <v>1</v>
      </c>
      <c r="Q229" s="5">
        <v>0</v>
      </c>
      <c r="R229" s="5">
        <v>0</v>
      </c>
      <c r="S229" cm="1">
        <f t="array" ref="S229">GetLatitude(U229)</f>
        <v>34.181154499999998</v>
      </c>
      <c r="T229" cm="1">
        <f t="array" ref="T229">GetLongitude(U229)</f>
        <v>71.782940699999997</v>
      </c>
      <c r="U229" t="str">
        <f t="shared" si="9"/>
        <v>Pushkalavati Museum, Peshawar, PK</v>
      </c>
      <c r="V229" t="str" cm="1">
        <f t="array" ref="V229">GetCoordinates(U229)</f>
        <v>34.1811545, 71.7829407</v>
      </c>
      <c r="W229" s="13" cm="1">
        <f t="array" ref="W229">TravelTime(A229,U229,AB229)</f>
        <v>7025</v>
      </c>
      <c r="X229" s="13">
        <f t="shared" si="10"/>
        <v>117.08333333333333</v>
      </c>
      <c r="Y229" s="13" cm="1">
        <f t="array" ref="Y229">TravelDistance(A229,U229,AB229)</f>
        <v>160011</v>
      </c>
      <c r="Z229" s="13" t="str">
        <f t="shared" si="11"/>
        <v>160.01km</v>
      </c>
      <c r="AA229" s="14" t="s">
        <v>361</v>
      </c>
      <c r="AB229" t="s">
        <v>355</v>
      </c>
    </row>
    <row r="230" spans="1:28" ht="15" x14ac:dyDescent="0.25">
      <c r="A230" s="2" t="s">
        <v>18</v>
      </c>
      <c r="B230" s="2" t="s">
        <v>246</v>
      </c>
      <c r="D230" s="3" t="s">
        <v>28</v>
      </c>
      <c r="E230" s="4" t="s">
        <v>29</v>
      </c>
      <c r="F230" s="4" t="s">
        <v>268</v>
      </c>
      <c r="G230" s="5">
        <v>1</v>
      </c>
      <c r="H230" s="5">
        <v>1</v>
      </c>
      <c r="I230" s="5">
        <v>1</v>
      </c>
      <c r="J230" s="5">
        <v>1</v>
      </c>
      <c r="K230" s="5">
        <v>1</v>
      </c>
      <c r="L230" s="5">
        <v>1</v>
      </c>
      <c r="M230" s="5">
        <v>1</v>
      </c>
      <c r="N230" s="5">
        <v>1</v>
      </c>
      <c r="O230" s="5">
        <v>1</v>
      </c>
      <c r="P230" s="5">
        <v>1</v>
      </c>
      <c r="Q230" s="5">
        <v>0</v>
      </c>
      <c r="R230" s="5">
        <v>0</v>
      </c>
      <c r="S230" cm="1">
        <f t="array" ref="S230">GetLatitude(U230)</f>
        <v>34.015136599999998</v>
      </c>
      <c r="T230" cm="1">
        <f t="array" ref="T230">GetLongitude(U230)</f>
        <v>71.524915399999998</v>
      </c>
      <c r="U230" t="str">
        <f t="shared" si="9"/>
        <v>Buddhist Stupa (Sahji Ki Dheri), Peshawar, PK</v>
      </c>
      <c r="V230" t="str" cm="1">
        <f t="array" ref="V230">GetCoordinates(U230)</f>
        <v>34.0151366, 71.5249154</v>
      </c>
      <c r="W230" s="13" cm="1">
        <f t="array" ref="W230">TravelTime(A230,U230,AB230)</f>
        <v>8538</v>
      </c>
      <c r="X230" s="13">
        <f t="shared" si="10"/>
        <v>142.30000000000001</v>
      </c>
      <c r="Y230" s="13" cm="1">
        <f t="array" ref="Y230">TravelDistance(A230,U230,AB230)</f>
        <v>183050</v>
      </c>
      <c r="Z230" s="13" t="str">
        <f t="shared" si="11"/>
        <v>183.05km</v>
      </c>
      <c r="AA230" s="14" t="s">
        <v>361</v>
      </c>
      <c r="AB230" t="s">
        <v>355</v>
      </c>
    </row>
    <row r="231" spans="1:28" ht="15" x14ac:dyDescent="0.25">
      <c r="A231" s="2" t="s">
        <v>18</v>
      </c>
      <c r="B231" s="2" t="s">
        <v>246</v>
      </c>
      <c r="D231" s="3" t="s">
        <v>28</v>
      </c>
      <c r="E231" s="4" t="s">
        <v>29</v>
      </c>
      <c r="F231" s="4" t="s">
        <v>269</v>
      </c>
      <c r="G231" s="5">
        <v>1</v>
      </c>
      <c r="H231" s="5">
        <v>1</v>
      </c>
      <c r="I231" s="5">
        <v>1</v>
      </c>
      <c r="J231" s="5">
        <v>1</v>
      </c>
      <c r="K231" s="5">
        <v>1</v>
      </c>
      <c r="L231" s="5">
        <v>1</v>
      </c>
      <c r="M231" s="5">
        <v>1</v>
      </c>
      <c r="N231" s="5">
        <v>1</v>
      </c>
      <c r="O231" s="5">
        <v>1</v>
      </c>
      <c r="P231" s="5">
        <v>1</v>
      </c>
      <c r="Q231" s="5">
        <v>0</v>
      </c>
      <c r="R231" s="5">
        <v>0</v>
      </c>
      <c r="S231" cm="1">
        <f t="array" ref="S231">GetLatitude(U231)</f>
        <v>34.003915999999997</v>
      </c>
      <c r="T231" cm="1">
        <f t="array" ref="T231">GetLongitude(U231)</f>
        <v>71.572867700000003</v>
      </c>
      <c r="U231" t="str">
        <f t="shared" si="9"/>
        <v>St John's Church, Peshawar, PK</v>
      </c>
      <c r="V231" t="str" cm="1">
        <f t="array" ref="V231">GetCoordinates(U231)</f>
        <v>34.0039160, 71.5728677</v>
      </c>
      <c r="W231" s="13" cm="1">
        <f t="array" ref="W231">TravelTime(A231,U231,AB231)</f>
        <v>7999</v>
      </c>
      <c r="X231" s="13">
        <f t="shared" si="10"/>
        <v>133.31666666666666</v>
      </c>
      <c r="Y231" s="13" cm="1">
        <f t="array" ref="Y231">TravelDistance(A231,U231,AB231)</f>
        <v>179175</v>
      </c>
      <c r="Z231" s="13" t="str">
        <f t="shared" si="11"/>
        <v>179.18km</v>
      </c>
      <c r="AA231" s="14" t="s">
        <v>361</v>
      </c>
      <c r="AB231" t="s">
        <v>355</v>
      </c>
    </row>
    <row r="232" spans="1:28" ht="15" x14ac:dyDescent="0.25">
      <c r="A232" s="2" t="s">
        <v>18</v>
      </c>
      <c r="B232" s="2" t="s">
        <v>246</v>
      </c>
      <c r="D232" s="3" t="s">
        <v>28</v>
      </c>
      <c r="E232" s="4" t="s">
        <v>29</v>
      </c>
      <c r="F232" s="4" t="s">
        <v>270</v>
      </c>
      <c r="G232" s="5">
        <v>1</v>
      </c>
      <c r="H232" s="5">
        <v>1</v>
      </c>
      <c r="I232" s="5">
        <v>1</v>
      </c>
      <c r="J232" s="5">
        <v>1</v>
      </c>
      <c r="K232" s="5">
        <v>1</v>
      </c>
      <c r="L232" s="5">
        <v>1</v>
      </c>
      <c r="M232" s="5">
        <v>1</v>
      </c>
      <c r="N232" s="5">
        <v>1</v>
      </c>
      <c r="O232" s="5">
        <v>1</v>
      </c>
      <c r="P232" s="5">
        <v>1</v>
      </c>
      <c r="Q232" s="5">
        <v>0</v>
      </c>
      <c r="R232" s="5">
        <v>0</v>
      </c>
      <c r="S232" cm="1">
        <f t="array" ref="S232">GetLatitude(U232)</f>
        <v>34.088965600000002</v>
      </c>
      <c r="T232" cm="1">
        <f t="array" ref="T232">GetLongitude(U232)</f>
        <v>71.746678299999999</v>
      </c>
      <c r="U232" t="str">
        <f t="shared" si="9"/>
        <v>Mughal Bridge, Peshawar, PK</v>
      </c>
      <c r="V232" t="str" cm="1">
        <f t="array" ref="V232">GetCoordinates(U232)</f>
        <v>34.0889656, 71.7466783</v>
      </c>
      <c r="W232" s="13" cm="1">
        <f t="array" ref="W232">TravelTime(A232,U232,AB232)</f>
        <v>6427</v>
      </c>
      <c r="X232" s="13">
        <f t="shared" si="10"/>
        <v>107.11666666666666</v>
      </c>
      <c r="Y232" s="13" cm="1">
        <f t="array" ref="Y232">TravelDistance(A232,U232,AB232)</f>
        <v>158407</v>
      </c>
      <c r="Z232" s="13" t="str">
        <f t="shared" si="11"/>
        <v>158.41km</v>
      </c>
      <c r="AA232" s="14" t="s">
        <v>361</v>
      </c>
      <c r="AB232" t="s">
        <v>355</v>
      </c>
    </row>
    <row r="233" spans="1:28" ht="15" x14ac:dyDescent="0.25">
      <c r="A233" s="2" t="s">
        <v>18</v>
      </c>
      <c r="B233" s="2" t="s">
        <v>246</v>
      </c>
      <c r="D233" s="3" t="s">
        <v>28</v>
      </c>
      <c r="E233" s="4" t="s">
        <v>36</v>
      </c>
      <c r="F233" s="4" t="s">
        <v>271</v>
      </c>
      <c r="G233" s="5">
        <v>1</v>
      </c>
      <c r="H233" s="5">
        <v>1</v>
      </c>
      <c r="I233" s="5">
        <v>1</v>
      </c>
      <c r="J233" s="5">
        <v>1</v>
      </c>
      <c r="K233" s="5">
        <v>1</v>
      </c>
      <c r="L233" s="5">
        <v>1</v>
      </c>
      <c r="M233" s="5">
        <v>1</v>
      </c>
      <c r="N233" s="5">
        <v>1</v>
      </c>
      <c r="O233" s="5">
        <v>1</v>
      </c>
      <c r="P233" s="5">
        <v>1</v>
      </c>
      <c r="Q233" s="5">
        <v>0</v>
      </c>
      <c r="R233" s="5">
        <v>0</v>
      </c>
      <c r="S233" cm="1">
        <f t="array" ref="S233">GetLatitude(U233)</f>
        <v>34.017163799999999</v>
      </c>
      <c r="T233" cm="1">
        <f t="array" ref="T233">GetLongitude(U233)</f>
        <v>71.548371500000002</v>
      </c>
      <c r="U233" t="str">
        <f t="shared" si="9"/>
        <v>Ander Sher Bazaar, Peshawar, PK</v>
      </c>
      <c r="V233" t="str" cm="1">
        <f t="array" ref="V233">GetCoordinates(U233)</f>
        <v>34.0171638, 71.5483715</v>
      </c>
      <c r="W233" s="13" cm="1">
        <f t="array" ref="W233">TravelTime(A233,U233,AB233)</f>
        <v>8095</v>
      </c>
      <c r="X233" s="13">
        <f t="shared" si="10"/>
        <v>134.91666666666666</v>
      </c>
      <c r="Y233" s="13" cm="1">
        <f t="array" ref="Y233">TravelDistance(A233,U233,AB233)</f>
        <v>180924</v>
      </c>
      <c r="Z233" s="13" t="str">
        <f t="shared" si="11"/>
        <v>180.92km</v>
      </c>
      <c r="AA233" s="14" t="s">
        <v>361</v>
      </c>
      <c r="AB233" t="s">
        <v>355</v>
      </c>
    </row>
    <row r="234" spans="1:28" ht="15" x14ac:dyDescent="0.25">
      <c r="A234" s="2" t="s">
        <v>18</v>
      </c>
      <c r="B234" s="2" t="s">
        <v>246</v>
      </c>
      <c r="D234" s="3" t="s">
        <v>28</v>
      </c>
      <c r="E234" s="4" t="s">
        <v>29</v>
      </c>
      <c r="F234" s="4" t="s">
        <v>272</v>
      </c>
      <c r="G234" s="5">
        <v>1</v>
      </c>
      <c r="H234" s="5">
        <v>1</v>
      </c>
      <c r="I234" s="5">
        <v>1</v>
      </c>
      <c r="J234" s="5">
        <v>1</v>
      </c>
      <c r="K234" s="5">
        <v>1</v>
      </c>
      <c r="L234" s="5">
        <v>1</v>
      </c>
      <c r="M234" s="5">
        <v>1</v>
      </c>
      <c r="N234" s="5">
        <v>1</v>
      </c>
      <c r="O234" s="5">
        <v>1</v>
      </c>
      <c r="P234" s="5">
        <v>1</v>
      </c>
      <c r="Q234" s="5">
        <v>0</v>
      </c>
      <c r="R234" s="5">
        <v>0</v>
      </c>
      <c r="S234" cm="1">
        <f t="array" ref="S234">GetLatitude(U234)</f>
        <v>34.074815100000002</v>
      </c>
      <c r="T234" cm="1">
        <f t="array" ref="T234">GetLongitude(U234)</f>
        <v>71.208265600000004</v>
      </c>
      <c r="U234" t="str">
        <f t="shared" si="9"/>
        <v>Sphola Stupa, Peshawar, PK</v>
      </c>
      <c r="V234" t="str" cm="1">
        <f t="array" ref="V234">GetCoordinates(U234)</f>
        <v>34.0748151, 71.2082656</v>
      </c>
      <c r="W234" s="13" cm="1">
        <f t="array" ref="W234">TravelTime(A234,U234,AB234)</f>
        <v>12393</v>
      </c>
      <c r="X234" s="13">
        <f t="shared" si="10"/>
        <v>206.55</v>
      </c>
      <c r="Y234" s="13" cm="1">
        <f t="array" ref="Y234">TravelDistance(A234,U234,AB234)</f>
        <v>235759</v>
      </c>
      <c r="Z234" s="13" t="str">
        <f t="shared" si="11"/>
        <v>235.76km</v>
      </c>
      <c r="AA234" s="14" t="s">
        <v>361</v>
      </c>
      <c r="AB234" t="s">
        <v>355</v>
      </c>
    </row>
    <row r="235" spans="1:28" ht="15" x14ac:dyDescent="0.25">
      <c r="A235" s="2" t="s">
        <v>18</v>
      </c>
      <c r="B235" s="2" t="s">
        <v>246</v>
      </c>
      <c r="D235" s="3" t="s">
        <v>28</v>
      </c>
      <c r="E235" s="4" t="s">
        <v>29</v>
      </c>
      <c r="F235" s="4" t="s">
        <v>273</v>
      </c>
      <c r="G235" s="5">
        <v>1</v>
      </c>
      <c r="H235" s="5">
        <v>1</v>
      </c>
      <c r="I235" s="5">
        <v>1</v>
      </c>
      <c r="J235" s="5">
        <v>1</v>
      </c>
      <c r="K235" s="5">
        <v>1</v>
      </c>
      <c r="L235" s="5">
        <v>1</v>
      </c>
      <c r="M235" s="5">
        <v>1</v>
      </c>
      <c r="N235" s="5">
        <v>1</v>
      </c>
      <c r="O235" s="5">
        <v>1</v>
      </c>
      <c r="P235" s="5">
        <v>1</v>
      </c>
      <c r="Q235" s="5">
        <v>0</v>
      </c>
      <c r="R235" s="5">
        <v>0</v>
      </c>
      <c r="S235" cm="1">
        <f t="array" ref="S235">GetLatitude(U235)</f>
        <v>33.993445100000002</v>
      </c>
      <c r="T235" cm="1">
        <f t="array" ref="T235">GetLongitude(U235)</f>
        <v>71.571653499999996</v>
      </c>
      <c r="U235" t="str">
        <f t="shared" si="9"/>
        <v>Durrani Graveyard, Peshawar, PK</v>
      </c>
      <c r="V235" t="str" cm="1">
        <f t="array" ref="V235">GetCoordinates(U235)</f>
        <v>33.9934451, 71.5716535</v>
      </c>
      <c r="W235" s="13" cm="1">
        <f t="array" ref="W235">TravelTime(A235,U235,AB235)</f>
        <v>8116</v>
      </c>
      <c r="X235" s="13">
        <f t="shared" si="10"/>
        <v>135.26666666666668</v>
      </c>
      <c r="Y235" s="13" cm="1">
        <f t="array" ref="Y235">TravelDistance(A235,U235,AB235)</f>
        <v>180571</v>
      </c>
      <c r="Z235" s="13" t="str">
        <f t="shared" si="11"/>
        <v>180.57km</v>
      </c>
      <c r="AA235" s="14" t="s">
        <v>361</v>
      </c>
      <c r="AB235" t="s">
        <v>355</v>
      </c>
    </row>
    <row r="236" spans="1:28" ht="15" x14ac:dyDescent="0.25">
      <c r="A236" s="2" t="s">
        <v>18</v>
      </c>
      <c r="B236" s="2" t="s">
        <v>246</v>
      </c>
      <c r="D236" s="3" t="s">
        <v>28</v>
      </c>
      <c r="E236" s="4" t="s">
        <v>29</v>
      </c>
      <c r="F236" s="4" t="s">
        <v>274</v>
      </c>
      <c r="G236" s="5">
        <v>1</v>
      </c>
      <c r="H236" s="5">
        <v>1</v>
      </c>
      <c r="I236" s="5">
        <v>1</v>
      </c>
      <c r="J236" s="5">
        <v>1</v>
      </c>
      <c r="K236" s="5">
        <v>1</v>
      </c>
      <c r="L236" s="5">
        <v>1</v>
      </c>
      <c r="M236" s="5">
        <v>1</v>
      </c>
      <c r="N236" s="5">
        <v>1</v>
      </c>
      <c r="O236" s="5">
        <v>1</v>
      </c>
      <c r="P236" s="5">
        <v>1</v>
      </c>
      <c r="Q236" s="5">
        <v>0</v>
      </c>
      <c r="R236" s="5">
        <v>0</v>
      </c>
      <c r="S236" cm="1">
        <f t="array" ref="S236">GetLatitude(U236)</f>
        <v>34.013002</v>
      </c>
      <c r="T236" cm="1">
        <f t="array" ref="T236">GetLongitude(U236)</f>
        <v>71.569798899999995</v>
      </c>
      <c r="U236" t="str">
        <f t="shared" si="9"/>
        <v>Balahisar Attock Fort, Peshawar, PK</v>
      </c>
      <c r="V236" t="str" cm="1">
        <f t="array" ref="V236">GetCoordinates(U236)</f>
        <v>34.0130020, 71.5697989</v>
      </c>
      <c r="W236" s="13" cm="1">
        <f t="array" ref="W236">TravelTime(A236,U236,AB236)</f>
        <v>7739</v>
      </c>
      <c r="X236" s="13">
        <f t="shared" si="10"/>
        <v>128.98333333333332</v>
      </c>
      <c r="Y236" s="13" cm="1">
        <f t="array" ref="Y236">TravelDistance(A236,U236,AB236)</f>
        <v>178648</v>
      </c>
      <c r="Z236" s="13" t="str">
        <f t="shared" si="11"/>
        <v>178.65km</v>
      </c>
      <c r="AA236" s="14" t="s">
        <v>361</v>
      </c>
      <c r="AB236" t="s">
        <v>355</v>
      </c>
    </row>
    <row r="237" spans="1:28" ht="12.75" x14ac:dyDescent="0.2">
      <c r="A237" s="2" t="s">
        <v>18</v>
      </c>
      <c r="B237" s="2" t="s">
        <v>275</v>
      </c>
      <c r="D237" s="3" t="s">
        <v>28</v>
      </c>
      <c r="E237" s="3" t="s">
        <v>120</v>
      </c>
      <c r="F237" s="3" t="s">
        <v>276</v>
      </c>
      <c r="G237" s="5">
        <v>1</v>
      </c>
      <c r="H237" s="5">
        <v>1</v>
      </c>
      <c r="I237" s="5">
        <v>1</v>
      </c>
      <c r="J237" s="5">
        <v>1</v>
      </c>
      <c r="K237" s="5">
        <v>1</v>
      </c>
      <c r="L237" s="5">
        <v>1</v>
      </c>
      <c r="M237" s="5">
        <v>1</v>
      </c>
      <c r="N237" s="5">
        <v>1</v>
      </c>
      <c r="O237" s="5">
        <v>0</v>
      </c>
      <c r="P237" s="5">
        <v>0</v>
      </c>
      <c r="Q237" s="5">
        <v>0</v>
      </c>
      <c r="R237" s="5">
        <v>0</v>
      </c>
      <c r="S237" cm="1">
        <f t="array" ref="S237">GetLatitude(U237)</f>
        <v>32.4915649</v>
      </c>
      <c r="T237" cm="1">
        <f t="array" ref="T237">GetLongitude(U237)</f>
        <v>74.543009799999993</v>
      </c>
      <c r="U237" t="str">
        <f t="shared" si="9"/>
        <v>Iqbal Manzil, Sialkot, PK</v>
      </c>
      <c r="V237" t="str" cm="1">
        <f t="array" ref="V237">GetCoordinates(U237)</f>
        <v>32.4915649, 74.5430098</v>
      </c>
      <c r="W237" s="13" cm="1">
        <f t="array" ref="W237">TravelTime(A237,U237,AB237)</f>
        <v>16299</v>
      </c>
      <c r="X237" s="13">
        <f t="shared" si="10"/>
        <v>271.64999999999998</v>
      </c>
      <c r="Y237" s="13" cm="1">
        <f t="array" ref="Y237">TravelDistance(A237,U237,AB237)</f>
        <v>231762</v>
      </c>
      <c r="Z237" s="13" t="str">
        <f t="shared" si="11"/>
        <v>231.76km</v>
      </c>
      <c r="AA237" s="14" t="s">
        <v>361</v>
      </c>
      <c r="AB237" t="s">
        <v>355</v>
      </c>
    </row>
    <row r="238" spans="1:28" ht="12.75" x14ac:dyDescent="0.2">
      <c r="A238" s="2" t="s">
        <v>18</v>
      </c>
      <c r="B238" s="2" t="s">
        <v>275</v>
      </c>
      <c r="D238" s="3" t="s">
        <v>28</v>
      </c>
      <c r="E238" s="3" t="s">
        <v>277</v>
      </c>
      <c r="F238" s="3" t="s">
        <v>278</v>
      </c>
      <c r="G238" s="5">
        <v>1</v>
      </c>
      <c r="H238" s="5">
        <v>1</v>
      </c>
      <c r="I238" s="5">
        <v>1</v>
      </c>
      <c r="J238" s="5">
        <v>1</v>
      </c>
      <c r="K238" s="5">
        <v>1</v>
      </c>
      <c r="L238" s="5">
        <v>1</v>
      </c>
      <c r="M238" s="5">
        <v>1</v>
      </c>
      <c r="N238" s="5">
        <v>1</v>
      </c>
      <c r="O238" s="5">
        <v>0</v>
      </c>
      <c r="P238" s="5">
        <v>0</v>
      </c>
      <c r="Q238" s="5">
        <v>0</v>
      </c>
      <c r="R238" s="5">
        <v>0</v>
      </c>
      <c r="S238" cm="1">
        <f t="array" ref="S238">GetLatitude(U238)</f>
        <v>32.490892600000002</v>
      </c>
      <c r="T238" cm="1">
        <f t="array" ref="T238">GetLongitude(U238)</f>
        <v>74.545046600000006</v>
      </c>
      <c r="U238" t="str">
        <f t="shared" si="9"/>
        <v>Shawala Teja Singh Temple, Sialkot, PK</v>
      </c>
      <c r="V238" t="str" cm="1">
        <f t="array" ref="V238">GetCoordinates(U238)</f>
        <v>32.4908926, 74.5450466</v>
      </c>
      <c r="W238" s="13" cm="1">
        <f t="array" ref="W238">TravelTime(A238,U238,AB238)</f>
        <v>16374</v>
      </c>
      <c r="X238" s="13">
        <f t="shared" si="10"/>
        <v>272.89999999999998</v>
      </c>
      <c r="Y238" s="13" cm="1">
        <f t="array" ref="Y238">TravelDistance(A238,U238,AB238)</f>
        <v>232030</v>
      </c>
      <c r="Z238" s="13" t="str">
        <f t="shared" si="11"/>
        <v>232.03km</v>
      </c>
      <c r="AA238" s="14" t="s">
        <v>361</v>
      </c>
      <c r="AB238" t="s">
        <v>355</v>
      </c>
    </row>
    <row r="239" spans="1:28" ht="12.75" x14ac:dyDescent="0.2">
      <c r="A239" s="2" t="s">
        <v>18</v>
      </c>
      <c r="B239" s="2" t="s">
        <v>275</v>
      </c>
      <c r="D239" s="3" t="s">
        <v>28</v>
      </c>
      <c r="E239" s="3" t="s">
        <v>106</v>
      </c>
      <c r="F239" s="3" t="s">
        <v>107</v>
      </c>
      <c r="G239" s="5">
        <v>1</v>
      </c>
      <c r="H239" s="5">
        <v>1</v>
      </c>
      <c r="I239" s="5">
        <v>1</v>
      </c>
      <c r="J239" s="5">
        <v>1</v>
      </c>
      <c r="K239" s="5">
        <v>1</v>
      </c>
      <c r="L239" s="5">
        <v>1</v>
      </c>
      <c r="M239" s="5">
        <v>1</v>
      </c>
      <c r="N239" s="5">
        <v>1</v>
      </c>
      <c r="O239" s="5">
        <v>0</v>
      </c>
      <c r="P239" s="5">
        <v>0</v>
      </c>
      <c r="Q239" s="5">
        <v>0</v>
      </c>
      <c r="R239" s="5">
        <v>0</v>
      </c>
      <c r="S239" cm="1">
        <f t="array" ref="S239">GetLatitude(U239)</f>
        <v>32.516179700000002</v>
      </c>
      <c r="T239" cm="1">
        <f t="array" ref="T239">GetLongitude(U239)</f>
        <v>74.556417499999995</v>
      </c>
      <c r="U239" t="str">
        <f t="shared" si="9"/>
        <v>Clock Tower, Sialkot, PK</v>
      </c>
      <c r="V239" t="str" cm="1">
        <f t="array" ref="V239">GetCoordinates(U239)</f>
        <v>32.5161797, 74.5564175</v>
      </c>
      <c r="W239" s="13" cm="1">
        <f t="array" ref="W239">TravelTime(A239,U239,AB239)</f>
        <v>16169</v>
      </c>
      <c r="X239" s="13">
        <f t="shared" si="10"/>
        <v>269.48333333333335</v>
      </c>
      <c r="Y239" s="13" cm="1">
        <f t="array" ref="Y239">TravelDistance(A239,U239,AB239)</f>
        <v>233322</v>
      </c>
      <c r="Z239" s="13" t="str">
        <f t="shared" si="11"/>
        <v>233.32km</v>
      </c>
      <c r="AA239" s="14" t="s">
        <v>361</v>
      </c>
      <c r="AB239" t="s">
        <v>355</v>
      </c>
    </row>
    <row r="240" spans="1:28" ht="12.75" x14ac:dyDescent="0.2">
      <c r="A240" s="2" t="s">
        <v>18</v>
      </c>
      <c r="B240" s="2" t="s">
        <v>275</v>
      </c>
      <c r="D240" s="3" t="s">
        <v>28</v>
      </c>
      <c r="E240" s="3" t="s">
        <v>120</v>
      </c>
      <c r="F240" s="3" t="s">
        <v>279</v>
      </c>
      <c r="G240" s="5">
        <v>1</v>
      </c>
      <c r="H240" s="5">
        <v>1</v>
      </c>
      <c r="I240" s="5">
        <v>1</v>
      </c>
      <c r="J240" s="5">
        <v>1</v>
      </c>
      <c r="K240" s="5">
        <v>1</v>
      </c>
      <c r="L240" s="5">
        <v>1</v>
      </c>
      <c r="M240" s="5">
        <v>1</v>
      </c>
      <c r="N240" s="5">
        <v>1</v>
      </c>
      <c r="O240" s="5">
        <v>1</v>
      </c>
      <c r="P240" s="5">
        <v>1</v>
      </c>
      <c r="Q240" s="5">
        <v>1</v>
      </c>
      <c r="R240" s="5">
        <v>1</v>
      </c>
      <c r="S240" cm="1">
        <f t="array" ref="S240">GetLatitude(U240)</f>
        <v>32.493735200000003</v>
      </c>
      <c r="T240" cm="1">
        <f t="array" ref="T240">GetLongitude(U240)</f>
        <v>74.541567900000004</v>
      </c>
      <c r="U240" t="str">
        <f t="shared" si="9"/>
        <v>Sialkot Fort, Sialkot, PK</v>
      </c>
      <c r="V240" t="str" cm="1">
        <f t="array" ref="V240">GetCoordinates(U240)</f>
        <v>32.4937352, 74.5415679</v>
      </c>
      <c r="W240" s="13" cm="1">
        <f t="array" ref="W240">TravelTime(A240,U240,AB240)</f>
        <v>16384</v>
      </c>
      <c r="X240" s="13">
        <f t="shared" si="10"/>
        <v>273.06666666666666</v>
      </c>
      <c r="Y240" s="13" cm="1">
        <f t="array" ref="Y240">TravelDistance(A240,U240,AB240)</f>
        <v>233701</v>
      </c>
      <c r="Z240" s="13" t="str">
        <f t="shared" si="11"/>
        <v>233.7km</v>
      </c>
      <c r="AA240" s="14" t="s">
        <v>361</v>
      </c>
      <c r="AB240" t="s">
        <v>355</v>
      </c>
    </row>
    <row r="241" spans="1:28" ht="15" x14ac:dyDescent="0.25">
      <c r="A241" s="2" t="s">
        <v>18</v>
      </c>
      <c r="B241" s="2" t="s">
        <v>280</v>
      </c>
      <c r="D241" s="3" t="s">
        <v>281</v>
      </c>
      <c r="E241" s="4" t="s">
        <v>36</v>
      </c>
      <c r="F241" s="4" t="s">
        <v>282</v>
      </c>
      <c r="G241" s="5">
        <v>1</v>
      </c>
      <c r="H241" s="5">
        <v>1</v>
      </c>
      <c r="I241" s="5">
        <v>1</v>
      </c>
      <c r="J241" s="5">
        <v>1</v>
      </c>
      <c r="K241" s="5">
        <v>1</v>
      </c>
      <c r="L241" s="5">
        <v>1</v>
      </c>
      <c r="M241" s="5">
        <v>1</v>
      </c>
      <c r="N241" s="5">
        <v>1</v>
      </c>
      <c r="O241" s="5">
        <v>1</v>
      </c>
      <c r="P241" s="5">
        <v>1</v>
      </c>
      <c r="Q241" s="5">
        <v>0</v>
      </c>
      <c r="R241" s="5">
        <v>0</v>
      </c>
      <c r="S241" cm="1">
        <f t="array" ref="S241">GetLatitude(U241)</f>
        <v>35.490202199999999</v>
      </c>
      <c r="T241" cm="1">
        <f t="array" ref="T241">GetLongitude(U241)</f>
        <v>72.579633099999995</v>
      </c>
      <c r="U241" t="str">
        <f t="shared" si="9"/>
        <v>Kalam Bazaar, Swat, PK</v>
      </c>
      <c r="V241" t="str" cm="1">
        <f t="array" ref="V241">GetCoordinates(U241)</f>
        <v>35.4902022, 72.5796331</v>
      </c>
      <c r="W241" s="13" cm="1">
        <f t="array" ref="W241">TravelTime(A241,U241,AB241)</f>
        <v>22403</v>
      </c>
      <c r="X241" s="13">
        <f t="shared" si="10"/>
        <v>373.38333333333333</v>
      </c>
      <c r="Y241" s="13" cm="1">
        <f t="array" ref="Y241">TravelDistance(A241,U241,AB241)</f>
        <v>327233</v>
      </c>
      <c r="Z241" s="13" t="str">
        <f t="shared" si="11"/>
        <v>327.23km</v>
      </c>
      <c r="AA241" s="14" t="s">
        <v>361</v>
      </c>
      <c r="AB241" t="s">
        <v>355</v>
      </c>
    </row>
    <row r="242" spans="1:28" ht="15" x14ac:dyDescent="0.25">
      <c r="A242" s="2" t="s">
        <v>18</v>
      </c>
      <c r="B242" s="2" t="s">
        <v>283</v>
      </c>
      <c r="D242" s="3" t="s">
        <v>20</v>
      </c>
      <c r="E242" s="4" t="s">
        <v>29</v>
      </c>
      <c r="F242" s="4" t="s">
        <v>284</v>
      </c>
      <c r="G242" s="5">
        <v>1</v>
      </c>
      <c r="H242" s="5">
        <v>1</v>
      </c>
      <c r="I242" s="5">
        <v>1</v>
      </c>
      <c r="J242" s="5">
        <v>1</v>
      </c>
      <c r="K242" s="5">
        <v>1</v>
      </c>
      <c r="L242" s="5">
        <v>1</v>
      </c>
      <c r="M242" s="5">
        <v>1</v>
      </c>
      <c r="N242" s="5">
        <v>1</v>
      </c>
      <c r="O242" s="5">
        <v>1</v>
      </c>
      <c r="P242" s="5">
        <v>1</v>
      </c>
      <c r="Q242" s="5">
        <v>0</v>
      </c>
      <c r="R242" s="5">
        <v>0</v>
      </c>
      <c r="S242" cm="1">
        <f t="array" ref="S242">GetLatitude(U242)</f>
        <v>35.536887999999998</v>
      </c>
      <c r="T242" cm="1">
        <f t="array" ref="T242">GetLongitude(U242)</f>
        <v>72.219329400000007</v>
      </c>
      <c r="U242" t="str">
        <f t="shared" si="9"/>
        <v>Kumrat Valley Upper Dir Kohistan, Upper Dir, PK</v>
      </c>
      <c r="V242" t="str" cm="1">
        <f t="array" ref="V242">GetCoordinates(U242)</f>
        <v>35.5368880, 72.2193294</v>
      </c>
      <c r="W242" s="13" cm="1">
        <f t="array" ref="W242">TravelTime(A242,U242,AB242)</f>
        <v>28785</v>
      </c>
      <c r="X242" s="13">
        <f t="shared" si="10"/>
        <v>479.75</v>
      </c>
      <c r="Y242" s="13" cm="1">
        <f t="array" ref="Y242">TravelDistance(A242,U242,AB242)</f>
        <v>385713</v>
      </c>
      <c r="Z242" s="13" t="str">
        <f t="shared" si="11"/>
        <v>385.71km</v>
      </c>
      <c r="AA242" s="14" t="s">
        <v>361</v>
      </c>
      <c r="AB242" t="s">
        <v>355</v>
      </c>
    </row>
    <row r="243" spans="1:28" ht="15" x14ac:dyDescent="0.25">
      <c r="A243" s="2" t="s">
        <v>190</v>
      </c>
      <c r="B243" s="2" t="s">
        <v>19</v>
      </c>
      <c r="D243" s="3" t="s">
        <v>20</v>
      </c>
      <c r="E243" s="4" t="s">
        <v>21</v>
      </c>
      <c r="F243" s="4" t="s">
        <v>22</v>
      </c>
      <c r="G243" s="5">
        <v>1</v>
      </c>
      <c r="H243" s="5">
        <v>1</v>
      </c>
      <c r="I243" s="5">
        <v>1</v>
      </c>
      <c r="J243" s="5">
        <v>1</v>
      </c>
      <c r="K243" s="5">
        <v>1</v>
      </c>
      <c r="L243" s="5">
        <v>1</v>
      </c>
      <c r="M243" s="5">
        <v>1</v>
      </c>
      <c r="N243" s="5">
        <v>1</v>
      </c>
      <c r="O243" s="5">
        <v>1</v>
      </c>
      <c r="P243" s="5">
        <v>1</v>
      </c>
      <c r="Q243" s="5">
        <v>0</v>
      </c>
      <c r="R243" s="5">
        <v>0</v>
      </c>
      <c r="S243" cm="1">
        <f t="array" ref="S243">GetLatitude(U243)</f>
        <v>34.161699800000001</v>
      </c>
      <c r="T243" cm="1">
        <f t="array" ref="T243">GetLongitude(U243)</f>
        <v>73.277689100000003</v>
      </c>
      <c r="U243" t="str">
        <f t="shared" si="9"/>
        <v>Thandiani, Abbottabad, PK</v>
      </c>
      <c r="V243" t="str" cm="1">
        <f t="array" ref="V243">GetCoordinates(U243)</f>
        <v>34.1616998, 73.2776891</v>
      </c>
      <c r="W243" s="13" cm="1">
        <f t="array" ref="W243">TravelTime(A243,U243,AB243)</f>
        <v>21319</v>
      </c>
      <c r="X243" s="13">
        <f t="shared" si="10"/>
        <v>355.31666666666666</v>
      </c>
      <c r="Y243" s="13" cm="1">
        <f t="array" ref="Y243">TravelDistance(A243,U243,AB243)</f>
        <v>473566</v>
      </c>
      <c r="Z243" s="13" t="str">
        <f t="shared" si="11"/>
        <v>473.57km</v>
      </c>
      <c r="AA243" s="14" t="s">
        <v>361</v>
      </c>
      <c r="AB243" t="s">
        <v>355</v>
      </c>
    </row>
    <row r="244" spans="1:28" ht="15" x14ac:dyDescent="0.25">
      <c r="A244" s="2" t="s">
        <v>190</v>
      </c>
      <c r="B244" s="2" t="s">
        <v>19</v>
      </c>
      <c r="D244" s="3" t="s">
        <v>20</v>
      </c>
      <c r="E244" s="4" t="s">
        <v>21</v>
      </c>
      <c r="F244" s="4" t="s">
        <v>23</v>
      </c>
      <c r="G244" s="5">
        <v>1</v>
      </c>
      <c r="H244" s="5">
        <v>1</v>
      </c>
      <c r="I244" s="5">
        <v>1</v>
      </c>
      <c r="J244" s="5">
        <v>1</v>
      </c>
      <c r="K244" s="5">
        <v>1</v>
      </c>
      <c r="L244" s="5">
        <v>1</v>
      </c>
      <c r="M244" s="5">
        <v>1</v>
      </c>
      <c r="N244" s="5">
        <v>1</v>
      </c>
      <c r="O244" s="5">
        <v>1</v>
      </c>
      <c r="P244" s="5">
        <v>1</v>
      </c>
      <c r="Q244" s="5">
        <v>0</v>
      </c>
      <c r="R244" s="5">
        <v>0</v>
      </c>
      <c r="S244" cm="1">
        <f t="array" ref="S244">GetLatitude(U244)</f>
        <v>34.052824200000003</v>
      </c>
      <c r="T244" cm="1">
        <f t="array" ref="T244">GetLongitude(U244)</f>
        <v>73.406970900000005</v>
      </c>
      <c r="U244" t="str">
        <f t="shared" si="9"/>
        <v>Dunga Gali Pine Line Track, Abbottabad, PK</v>
      </c>
      <c r="V244" t="str" cm="1">
        <f t="array" ref="V244">GetCoordinates(U244)</f>
        <v>34.0528242, 73.4069709</v>
      </c>
      <c r="W244" s="13" cm="1">
        <f t="array" ref="W244">TravelTime(A244,U244,AB244)</f>
        <v>24545</v>
      </c>
      <c r="X244" s="13">
        <f t="shared" si="10"/>
        <v>409.08333333333331</v>
      </c>
      <c r="Y244" s="13" cm="1">
        <f t="array" ref="Y244">TravelDistance(A244,U244,AB244)</f>
        <v>454471</v>
      </c>
      <c r="Z244" s="13" t="str">
        <f t="shared" si="11"/>
        <v>454.47km</v>
      </c>
      <c r="AA244" s="14" t="s">
        <v>361</v>
      </c>
      <c r="AB244" t="s">
        <v>355</v>
      </c>
    </row>
    <row r="245" spans="1:28" ht="15" x14ac:dyDescent="0.25">
      <c r="A245" s="2" t="s">
        <v>190</v>
      </c>
      <c r="B245" s="2" t="s">
        <v>19</v>
      </c>
      <c r="D245" s="3" t="s">
        <v>20</v>
      </c>
      <c r="E245" s="4" t="s">
        <v>25</v>
      </c>
      <c r="F245" s="4" t="s">
        <v>26</v>
      </c>
      <c r="G245" s="5">
        <v>1</v>
      </c>
      <c r="H245" s="5">
        <v>1</v>
      </c>
      <c r="I245" s="5">
        <v>1</v>
      </c>
      <c r="J245" s="5">
        <v>1</v>
      </c>
      <c r="K245" s="5">
        <v>1</v>
      </c>
      <c r="L245" s="5">
        <v>1</v>
      </c>
      <c r="M245" s="5">
        <v>1</v>
      </c>
      <c r="N245" s="5">
        <v>1</v>
      </c>
      <c r="O245" s="5">
        <v>1</v>
      </c>
      <c r="P245" s="5">
        <v>1</v>
      </c>
      <c r="Q245" s="5">
        <v>0</v>
      </c>
      <c r="R245" s="5">
        <v>0</v>
      </c>
      <c r="S245" cm="1">
        <f t="array" ref="S245">GetLatitude(U245)</f>
        <v>34.060232599999999</v>
      </c>
      <c r="T245" cm="1">
        <f t="array" ref="T245">GetLongitude(U245)</f>
        <v>73.430793300000005</v>
      </c>
      <c r="U245" t="str">
        <f t="shared" si="9"/>
        <v>Mukshpuri Top, Abbottabad, PK</v>
      </c>
      <c r="V245" t="str" cm="1">
        <f t="array" ref="V245">GetCoordinates(U245)</f>
        <v>34.0602326, 73.4307933</v>
      </c>
      <c r="W245" s="13" cm="1">
        <f t="array" ref="W245">TravelTime(A245,U245,AB245)</f>
        <v>24660</v>
      </c>
      <c r="X245" s="13">
        <f t="shared" si="10"/>
        <v>411</v>
      </c>
      <c r="Y245" s="13" cm="1">
        <f t="array" ref="Y245">TravelDistance(A245,U245,AB245)</f>
        <v>455409</v>
      </c>
      <c r="Z245" s="13" t="str">
        <f t="shared" si="11"/>
        <v>455.41km</v>
      </c>
      <c r="AA245" s="14" t="s">
        <v>361</v>
      </c>
      <c r="AB245" t="s">
        <v>355</v>
      </c>
    </row>
    <row r="246" spans="1:28" ht="15" x14ac:dyDescent="0.25">
      <c r="A246" s="2" t="s">
        <v>190</v>
      </c>
      <c r="B246" s="2" t="s">
        <v>19</v>
      </c>
      <c r="D246" s="3" t="s">
        <v>20</v>
      </c>
      <c r="E246" s="4" t="s">
        <v>21</v>
      </c>
      <c r="F246" s="4" t="s">
        <v>27</v>
      </c>
      <c r="G246" s="5">
        <v>1</v>
      </c>
      <c r="H246" s="5">
        <v>1</v>
      </c>
      <c r="I246" s="5">
        <v>1</v>
      </c>
      <c r="J246" s="5">
        <v>1</v>
      </c>
      <c r="K246" s="5">
        <v>1</v>
      </c>
      <c r="L246" s="5">
        <v>1</v>
      </c>
      <c r="M246" s="5">
        <v>1</v>
      </c>
      <c r="N246" s="5">
        <v>1</v>
      </c>
      <c r="O246" s="5">
        <v>1</v>
      </c>
      <c r="P246" s="5">
        <v>1</v>
      </c>
      <c r="Q246" s="5">
        <v>0</v>
      </c>
      <c r="R246" s="5">
        <v>0</v>
      </c>
      <c r="S246" cm="1">
        <f t="array" ref="S246">GetLatitude(U246)</f>
        <v>34.104502500000002</v>
      </c>
      <c r="T246" cm="1">
        <f t="array" ref="T246">GetLongitude(U246)</f>
        <v>73.407243500000007</v>
      </c>
      <c r="U246" t="str">
        <f t="shared" si="9"/>
        <v>Miranjani, Abbottabad, PK</v>
      </c>
      <c r="V246" t="str" cm="1">
        <f t="array" ref="V246">GetCoordinates(U246)</f>
        <v>34.1045025, 73.4072435</v>
      </c>
      <c r="W246" s="13" cm="1">
        <f t="array" ref="W246">TravelTime(A246,U246,AB246)</f>
        <v>25706</v>
      </c>
      <c r="X246" s="13">
        <f t="shared" si="10"/>
        <v>428.43333333333334</v>
      </c>
      <c r="Y246" s="13" cm="1">
        <f t="array" ref="Y246">TravelDistance(A246,U246,AB246)</f>
        <v>507668</v>
      </c>
      <c r="Z246" s="13" t="str">
        <f t="shared" si="11"/>
        <v>507.67km</v>
      </c>
      <c r="AA246" s="14" t="s">
        <v>361</v>
      </c>
      <c r="AB246" t="s">
        <v>355</v>
      </c>
    </row>
    <row r="247" spans="1:28" ht="15" x14ac:dyDescent="0.25">
      <c r="A247" s="2" t="s">
        <v>190</v>
      </c>
      <c r="B247" s="2" t="s">
        <v>19</v>
      </c>
      <c r="D247" s="3" t="s">
        <v>28</v>
      </c>
      <c r="E247" s="4" t="s">
        <v>29</v>
      </c>
      <c r="F247" s="4" t="s">
        <v>30</v>
      </c>
      <c r="G247" s="5">
        <v>1</v>
      </c>
      <c r="H247" s="5">
        <v>1</v>
      </c>
      <c r="I247" s="5">
        <v>1</v>
      </c>
      <c r="J247" s="5">
        <v>1</v>
      </c>
      <c r="K247" s="5">
        <v>1</v>
      </c>
      <c r="L247" s="5">
        <v>1</v>
      </c>
      <c r="M247" s="5">
        <v>1</v>
      </c>
      <c r="N247" s="5">
        <v>1</v>
      </c>
      <c r="O247" s="5">
        <v>1</v>
      </c>
      <c r="P247" s="5">
        <v>1</v>
      </c>
      <c r="Q247" s="5">
        <v>0</v>
      </c>
      <c r="R247" s="5">
        <v>0</v>
      </c>
      <c r="S247" cm="1">
        <f t="array" ref="S247">GetLatitude(U247)</f>
        <v>34.149712899999997</v>
      </c>
      <c r="T247" cm="1">
        <f t="array" ref="T247">GetLongitude(U247)</f>
        <v>73.206878200000006</v>
      </c>
      <c r="U247" t="str">
        <f t="shared" si="9"/>
        <v>Old Lockhart House, Abbottabad, PK</v>
      </c>
      <c r="V247" t="str" cm="1">
        <f t="array" ref="V247">GetCoordinates(U247)</f>
        <v>34.1497129, 73.2068782</v>
      </c>
      <c r="W247" s="13" cm="1">
        <f t="array" ref="W247">TravelTime(A247,U247,AB247)</f>
        <v>20531</v>
      </c>
      <c r="X247" s="13">
        <f t="shared" si="10"/>
        <v>342.18333333333334</v>
      </c>
      <c r="Y247" s="13" cm="1">
        <f t="array" ref="Y247">TravelDistance(A247,U247,AB247)</f>
        <v>467446</v>
      </c>
      <c r="Z247" s="13" t="str">
        <f t="shared" si="11"/>
        <v>467.45km</v>
      </c>
      <c r="AA247" s="14" t="s">
        <v>361</v>
      </c>
      <c r="AB247" t="s">
        <v>355</v>
      </c>
    </row>
    <row r="248" spans="1:28" ht="15" x14ac:dyDescent="0.25">
      <c r="A248" s="2" t="s">
        <v>190</v>
      </c>
      <c r="B248" s="2" t="s">
        <v>19</v>
      </c>
      <c r="D248" s="3" t="s">
        <v>31</v>
      </c>
      <c r="E248" s="4" t="s">
        <v>21</v>
      </c>
      <c r="F248" s="4" t="s">
        <v>33</v>
      </c>
      <c r="G248" s="5">
        <v>1</v>
      </c>
      <c r="H248" s="5">
        <v>1</v>
      </c>
      <c r="I248" s="5">
        <v>1</v>
      </c>
      <c r="J248" s="5">
        <v>1</v>
      </c>
      <c r="K248" s="5">
        <v>1</v>
      </c>
      <c r="L248" s="5">
        <v>1</v>
      </c>
      <c r="M248" s="5">
        <v>1</v>
      </c>
      <c r="N248" s="5">
        <v>1</v>
      </c>
      <c r="O248" s="5">
        <v>1</v>
      </c>
      <c r="P248" s="5">
        <v>1</v>
      </c>
      <c r="Q248" s="5">
        <v>0</v>
      </c>
      <c r="R248" s="5">
        <v>0</v>
      </c>
      <c r="S248" cm="1">
        <f t="array" ref="S248">GetLatitude(U248)</f>
        <v>34.075756800000001</v>
      </c>
      <c r="T248" cm="1">
        <f t="array" ref="T248">GetLongitude(U248)</f>
        <v>73.383454</v>
      </c>
      <c r="U248" t="str">
        <f t="shared" si="9"/>
        <v>Green Spot, Abbottabad, PK</v>
      </c>
      <c r="V248" t="str" cm="1">
        <f t="array" ref="V248">GetCoordinates(U248)</f>
        <v>34.0757568, 73.3834540</v>
      </c>
      <c r="W248" s="13" cm="1">
        <f t="array" ref="W248">TravelTime(A248,U248,AB248)</f>
        <v>24615</v>
      </c>
      <c r="X248" s="13">
        <f t="shared" si="10"/>
        <v>410.25</v>
      </c>
      <c r="Y248" s="13" cm="1">
        <f t="array" ref="Y248">TravelDistance(A248,U248,AB248)</f>
        <v>502043</v>
      </c>
      <c r="Z248" s="13" t="str">
        <f t="shared" si="11"/>
        <v>502.04km</v>
      </c>
      <c r="AA248" s="14" t="s">
        <v>361</v>
      </c>
      <c r="AB248" t="s">
        <v>355</v>
      </c>
    </row>
    <row r="249" spans="1:28" ht="15" x14ac:dyDescent="0.25">
      <c r="A249" s="2" t="s">
        <v>190</v>
      </c>
      <c r="B249" s="2" t="s">
        <v>285</v>
      </c>
      <c r="D249" s="3" t="s">
        <v>20</v>
      </c>
      <c r="E249" s="4" t="s">
        <v>29</v>
      </c>
      <c r="F249" s="4" t="s">
        <v>286</v>
      </c>
      <c r="G249" s="5">
        <v>1</v>
      </c>
      <c r="H249" s="5">
        <v>1</v>
      </c>
      <c r="I249" s="5">
        <v>1</v>
      </c>
      <c r="J249" s="5">
        <v>1</v>
      </c>
      <c r="K249" s="5">
        <v>1</v>
      </c>
      <c r="L249" s="5">
        <v>1</v>
      </c>
      <c r="M249" s="5">
        <v>1</v>
      </c>
      <c r="N249" s="5">
        <v>1</v>
      </c>
      <c r="O249" s="5">
        <v>1</v>
      </c>
      <c r="P249" s="5">
        <v>1</v>
      </c>
      <c r="Q249" s="5">
        <v>0</v>
      </c>
      <c r="R249" s="5">
        <v>0</v>
      </c>
      <c r="S249" cm="1">
        <f t="array" ref="S249">GetLatitude(U249)</f>
        <v>34.028781700000003</v>
      </c>
      <c r="T249" cm="1">
        <f t="array" ref="T249">GetLongitude(U249)</f>
        <v>73.404142500000006</v>
      </c>
      <c r="U249" t="str">
        <f t="shared" si="9"/>
        <v>Ayubia Chairlift, Ayubia, PK</v>
      </c>
      <c r="V249" t="str" cm="1">
        <f t="array" ref="V249">GetCoordinates(U249)</f>
        <v>34.0287817, 73.4041425</v>
      </c>
      <c r="W249" s="13" cm="1">
        <f t="array" ref="W249">TravelTime(A249,U249,AB249)</f>
        <v>23759</v>
      </c>
      <c r="X249" s="13">
        <f t="shared" si="10"/>
        <v>395.98333333333335</v>
      </c>
      <c r="Y249" s="13" cm="1">
        <f t="array" ref="Y249">TravelDistance(A249,U249,AB249)</f>
        <v>447577</v>
      </c>
      <c r="Z249" s="13" t="str">
        <f t="shared" si="11"/>
        <v>447.58km</v>
      </c>
      <c r="AA249" s="14" t="s">
        <v>361</v>
      </c>
      <c r="AB249" t="s">
        <v>355</v>
      </c>
    </row>
    <row r="250" spans="1:28" ht="15" x14ac:dyDescent="0.25">
      <c r="A250" s="2" t="s">
        <v>190</v>
      </c>
      <c r="B250" s="2" t="s">
        <v>34</v>
      </c>
      <c r="D250" s="3" t="s">
        <v>35</v>
      </c>
      <c r="E250" s="4" t="s">
        <v>36</v>
      </c>
      <c r="F250" s="4" t="s">
        <v>37</v>
      </c>
      <c r="G250" s="5">
        <v>0</v>
      </c>
      <c r="H250" s="5">
        <v>1</v>
      </c>
      <c r="I250" s="5">
        <v>1</v>
      </c>
      <c r="J250" s="5">
        <v>1</v>
      </c>
      <c r="K250" s="5">
        <v>1</v>
      </c>
      <c r="L250" s="5">
        <v>1</v>
      </c>
      <c r="M250" s="5">
        <v>1</v>
      </c>
      <c r="N250" s="5">
        <v>1</v>
      </c>
      <c r="O250" s="5">
        <v>1</v>
      </c>
      <c r="P250" s="5">
        <v>1</v>
      </c>
      <c r="Q250" s="5">
        <v>1</v>
      </c>
      <c r="R250" s="5">
        <v>1</v>
      </c>
      <c r="S250" cm="1">
        <f t="array" ref="S250">GetLatitude(U250)</f>
        <v>29.392859000000001</v>
      </c>
      <c r="T250" cm="1">
        <f t="array" ref="T250">GetLongitude(U250)</f>
        <v>71.669404700000001</v>
      </c>
      <c r="U250" t="str">
        <f t="shared" si="9"/>
        <v>Bahawalpur Trade Center, Bhawalpur, PK</v>
      </c>
      <c r="V250" t="str" cm="1">
        <f t="array" ref="V250">GetCoordinates(U250)</f>
        <v>29.3928590, 71.6694047</v>
      </c>
      <c r="W250" s="13" cm="1">
        <f t="array" ref="W250">TravelTime(A250,U250,AB250)</f>
        <v>18301</v>
      </c>
      <c r="X250" s="13">
        <f t="shared" si="10"/>
        <v>305.01666666666665</v>
      </c>
      <c r="Y250" s="13" cm="1">
        <f t="array" ref="Y250">TravelDistance(A250,U250,AB250)</f>
        <v>424166</v>
      </c>
      <c r="Z250" s="13" t="str">
        <f t="shared" si="11"/>
        <v>424.17km</v>
      </c>
      <c r="AA250" s="14" t="s">
        <v>361</v>
      </c>
      <c r="AB250" t="s">
        <v>355</v>
      </c>
    </row>
    <row r="251" spans="1:28" ht="15" x14ac:dyDescent="0.25">
      <c r="A251" s="2" t="s">
        <v>190</v>
      </c>
      <c r="B251" s="2" t="s">
        <v>34</v>
      </c>
      <c r="D251" s="3" t="s">
        <v>28</v>
      </c>
      <c r="E251" s="4" t="s">
        <v>29</v>
      </c>
      <c r="F251" s="4" t="s">
        <v>38</v>
      </c>
      <c r="G251" s="5">
        <v>0</v>
      </c>
      <c r="H251" s="5">
        <v>1</v>
      </c>
      <c r="I251" s="5">
        <v>1</v>
      </c>
      <c r="J251" s="5">
        <v>1</v>
      </c>
      <c r="K251" s="5">
        <v>1</v>
      </c>
      <c r="L251" s="5">
        <v>1</v>
      </c>
      <c r="M251" s="5">
        <v>1</v>
      </c>
      <c r="N251" s="5">
        <v>1</v>
      </c>
      <c r="O251" s="5">
        <v>1</v>
      </c>
      <c r="P251" s="5">
        <v>1</v>
      </c>
      <c r="Q251" s="5">
        <v>1</v>
      </c>
      <c r="R251" s="5">
        <v>1</v>
      </c>
      <c r="S251" cm="1">
        <f t="array" ref="S251">GetLatitude(U251)</f>
        <v>33.597158999999998</v>
      </c>
      <c r="T251" cm="1">
        <f t="array" ref="T251">GetLongitude(U251)</f>
        <v>73.072654</v>
      </c>
      <c r="U251" t="str">
        <f t="shared" si="9"/>
        <v>Abbasi Mosque, Bhawalpur, PK</v>
      </c>
      <c r="V251" t="str" cm="1">
        <f t="array" ref="V251">GetCoordinates(U251)</f>
        <v>33.5971590, 73.0726540</v>
      </c>
      <c r="W251" s="13" cm="1">
        <f t="array" ref="W251">TravelTime(A251,U251,AB251)</f>
        <v>17155</v>
      </c>
      <c r="X251" s="13">
        <f t="shared" si="10"/>
        <v>285.91666666666669</v>
      </c>
      <c r="Y251" s="13" cm="1">
        <f t="array" ref="Y251">TravelDistance(A251,U251,AB251)</f>
        <v>382328</v>
      </c>
      <c r="Z251" s="13" t="str">
        <f t="shared" si="11"/>
        <v>382.33km</v>
      </c>
      <c r="AA251" s="14" t="s">
        <v>361</v>
      </c>
      <c r="AB251" t="s">
        <v>355</v>
      </c>
    </row>
    <row r="252" spans="1:28" ht="15" x14ac:dyDescent="0.25">
      <c r="A252" s="2" t="s">
        <v>190</v>
      </c>
      <c r="B252" s="2" t="s">
        <v>34</v>
      </c>
      <c r="D252" s="3" t="s">
        <v>39</v>
      </c>
      <c r="E252" s="4" t="s">
        <v>29</v>
      </c>
      <c r="F252" s="4" t="s">
        <v>40</v>
      </c>
      <c r="G252" s="5">
        <v>0</v>
      </c>
      <c r="H252" s="5">
        <v>1</v>
      </c>
      <c r="I252" s="5">
        <v>1</v>
      </c>
      <c r="J252" s="5">
        <v>1</v>
      </c>
      <c r="K252" s="5">
        <v>1</v>
      </c>
      <c r="L252" s="5">
        <v>1</v>
      </c>
      <c r="M252" s="5">
        <v>1</v>
      </c>
      <c r="N252" s="5">
        <v>1</v>
      </c>
      <c r="O252" s="5">
        <v>1</v>
      </c>
      <c r="P252" s="5">
        <v>1</v>
      </c>
      <c r="Q252" s="5">
        <v>1</v>
      </c>
      <c r="R252" s="5">
        <v>1</v>
      </c>
      <c r="S252" cm="1">
        <f t="array" ref="S252">GetLatitude(U252)</f>
        <v>29.3464983</v>
      </c>
      <c r="T252" cm="1">
        <f t="array" ref="T252">GetLongitude(U252)</f>
        <v>71.019893199999999</v>
      </c>
      <c r="U252" t="str">
        <f t="shared" si="9"/>
        <v>Head Panjnad, Bhawalpur, PK</v>
      </c>
      <c r="V252" t="str" cm="1">
        <f t="array" ref="V252">GetCoordinates(U252)</f>
        <v>29.3464983, 71.0198932</v>
      </c>
      <c r="W252" s="13" cm="1">
        <f t="array" ref="W252">TravelTime(A252,U252,AB252)</f>
        <v>19450</v>
      </c>
      <c r="X252" s="13">
        <f t="shared" si="10"/>
        <v>324.16666666666669</v>
      </c>
      <c r="Y252" s="13" cm="1">
        <f t="array" ref="Y252">TravelDistance(A252,U252,AB252)</f>
        <v>459948</v>
      </c>
      <c r="Z252" s="13" t="str">
        <f t="shared" si="11"/>
        <v>459.95km</v>
      </c>
      <c r="AA252" s="14" t="s">
        <v>361</v>
      </c>
      <c r="AB252" t="s">
        <v>355</v>
      </c>
    </row>
    <row r="253" spans="1:28" ht="15" x14ac:dyDescent="0.25">
      <c r="A253" s="2" t="s">
        <v>190</v>
      </c>
      <c r="B253" s="2" t="s">
        <v>34</v>
      </c>
      <c r="D253" s="3" t="s">
        <v>31</v>
      </c>
      <c r="E253" s="4" t="s">
        <v>21</v>
      </c>
      <c r="F253" s="4" t="s">
        <v>41</v>
      </c>
      <c r="G253" s="5">
        <v>0</v>
      </c>
      <c r="H253" s="5">
        <v>1</v>
      </c>
      <c r="I253" s="5">
        <v>1</v>
      </c>
      <c r="J253" s="5">
        <v>1</v>
      </c>
      <c r="K253" s="5">
        <v>1</v>
      </c>
      <c r="L253" s="5">
        <v>1</v>
      </c>
      <c r="M253" s="5">
        <v>1</v>
      </c>
      <c r="N253" s="5">
        <v>1</v>
      </c>
      <c r="O253" s="5">
        <v>1</v>
      </c>
      <c r="P253" s="5">
        <v>1</v>
      </c>
      <c r="Q253" s="5">
        <v>1</v>
      </c>
      <c r="R253" s="5">
        <v>1</v>
      </c>
      <c r="S253" cm="1">
        <f t="array" ref="S253">GetLatitude(U253)</f>
        <v>29.391931199999998</v>
      </c>
      <c r="T253" cm="1">
        <f t="array" ref="T253">GetLongitude(U253)</f>
        <v>71.664747700000007</v>
      </c>
      <c r="U253" t="str">
        <f t="shared" si="9"/>
        <v>Gulzar-e-Sadiq, Bhawalpur, PK</v>
      </c>
      <c r="V253" t="str" cm="1">
        <f t="array" ref="V253">GetCoordinates(U253)</f>
        <v>29.3919312, 71.6647477</v>
      </c>
      <c r="W253" s="13" cm="1">
        <f t="array" ref="W253">TravelTime(A253,U253,AB253)</f>
        <v>18399</v>
      </c>
      <c r="X253" s="13">
        <f t="shared" si="10"/>
        <v>306.64999999999998</v>
      </c>
      <c r="Y253" s="13" cm="1">
        <f t="array" ref="Y253">TravelDistance(A253,U253,AB253)</f>
        <v>424524</v>
      </c>
      <c r="Z253" s="13" t="str">
        <f t="shared" si="11"/>
        <v>424.52km</v>
      </c>
      <c r="AA253" s="14" t="s">
        <v>361</v>
      </c>
      <c r="AB253" t="s">
        <v>355</v>
      </c>
    </row>
    <row r="254" spans="1:28" ht="15" x14ac:dyDescent="0.25">
      <c r="A254" s="2" t="s">
        <v>190</v>
      </c>
      <c r="B254" s="2" t="s">
        <v>34</v>
      </c>
      <c r="D254" s="3" t="s">
        <v>31</v>
      </c>
      <c r="E254" s="4" t="s">
        <v>21</v>
      </c>
      <c r="F254" s="4" t="s">
        <v>42</v>
      </c>
      <c r="G254" s="5">
        <v>0</v>
      </c>
      <c r="H254" s="5">
        <v>1</v>
      </c>
      <c r="I254" s="5">
        <v>1</v>
      </c>
      <c r="J254" s="5">
        <v>1</v>
      </c>
      <c r="K254" s="5">
        <v>1</v>
      </c>
      <c r="L254" s="5">
        <v>1</v>
      </c>
      <c r="M254" s="5">
        <v>1</v>
      </c>
      <c r="N254" s="5">
        <v>1</v>
      </c>
      <c r="O254" s="5">
        <v>1</v>
      </c>
      <c r="P254" s="5">
        <v>1</v>
      </c>
      <c r="Q254" s="5">
        <v>1</v>
      </c>
      <c r="R254" s="5">
        <v>1</v>
      </c>
      <c r="S254" cm="1">
        <f t="array" ref="S254">GetLatitude(U254)</f>
        <v>29.3170456</v>
      </c>
      <c r="T254" cm="1">
        <f t="array" ref="T254">GetLongitude(U254)</f>
        <v>71.904564899999997</v>
      </c>
      <c r="U254" t="str">
        <f t="shared" si="9"/>
        <v>Lal Suhanra National Park, Bhawalpur, PK</v>
      </c>
      <c r="V254" t="str" cm="1">
        <f t="array" ref="V254">GetCoordinates(U254)</f>
        <v>29.3170456, 71.9045649</v>
      </c>
      <c r="W254" s="13" cm="1">
        <f t="array" ref="W254">TravelTime(A254,U254,AB254)</f>
        <v>22241</v>
      </c>
      <c r="X254" s="13">
        <f t="shared" si="10"/>
        <v>370.68333333333334</v>
      </c>
      <c r="Y254" s="13" cm="1">
        <f t="array" ref="Y254">TravelDistance(A254,U254,AB254)</f>
        <v>480053</v>
      </c>
      <c r="Z254" s="13" t="str">
        <f t="shared" si="11"/>
        <v>480.05km</v>
      </c>
      <c r="AA254" s="14" t="s">
        <v>361</v>
      </c>
      <c r="AB254" t="s">
        <v>355</v>
      </c>
    </row>
    <row r="255" spans="1:28" ht="15" x14ac:dyDescent="0.25">
      <c r="A255" s="2" t="s">
        <v>190</v>
      </c>
      <c r="B255" s="2" t="s">
        <v>34</v>
      </c>
      <c r="D255" s="3" t="s">
        <v>31</v>
      </c>
      <c r="E255" s="4" t="s">
        <v>25</v>
      </c>
      <c r="F255" s="4" t="s">
        <v>43</v>
      </c>
      <c r="G255" s="5">
        <v>0</v>
      </c>
      <c r="H255" s="5">
        <v>1</v>
      </c>
      <c r="I255" s="5">
        <v>1</v>
      </c>
      <c r="J255" s="5">
        <v>1</v>
      </c>
      <c r="K255" s="5">
        <v>1</v>
      </c>
      <c r="L255" s="5">
        <v>1</v>
      </c>
      <c r="M255" s="5">
        <v>1</v>
      </c>
      <c r="N255" s="5">
        <v>1</v>
      </c>
      <c r="O255" s="5">
        <v>1</v>
      </c>
      <c r="P255" s="5">
        <v>1</v>
      </c>
      <c r="Q255" s="5">
        <v>1</v>
      </c>
      <c r="R255" s="5">
        <v>1</v>
      </c>
      <c r="S255" cm="1">
        <f t="array" ref="S255">GetLatitude(U255)</f>
        <v>29.4027703</v>
      </c>
      <c r="T255" cm="1">
        <f t="array" ref="T255">GetLongitude(U255)</f>
        <v>71.682760799999997</v>
      </c>
      <c r="U255" t="str">
        <f t="shared" si="9"/>
        <v>Bahawalpur Zoo, Bhawalpur, PK</v>
      </c>
      <c r="V255" t="str" cm="1">
        <f t="array" ref="V255">GetCoordinates(U255)</f>
        <v>29.4027703, 71.6827608</v>
      </c>
      <c r="W255" s="13" cm="1">
        <f t="array" ref="W255">TravelTime(A255,U255,AB255)</f>
        <v>18211</v>
      </c>
      <c r="X255" s="13">
        <f t="shared" si="10"/>
        <v>303.51666666666665</v>
      </c>
      <c r="Y255" s="13" cm="1">
        <f t="array" ref="Y255">TravelDistance(A255,U255,AB255)</f>
        <v>423267</v>
      </c>
      <c r="Z255" s="13" t="str">
        <f t="shared" si="11"/>
        <v>423.27km</v>
      </c>
      <c r="AA255" s="14" t="s">
        <v>361</v>
      </c>
      <c r="AB255" t="s">
        <v>355</v>
      </c>
    </row>
    <row r="256" spans="1:28" ht="15" x14ac:dyDescent="0.25">
      <c r="A256" s="2" t="s">
        <v>190</v>
      </c>
      <c r="B256" s="2" t="s">
        <v>34</v>
      </c>
      <c r="D256" s="3" t="s">
        <v>28</v>
      </c>
      <c r="E256" s="4" t="s">
        <v>29</v>
      </c>
      <c r="F256" s="4" t="s">
        <v>44</v>
      </c>
      <c r="G256" s="5">
        <v>0</v>
      </c>
      <c r="H256" s="5">
        <v>1</v>
      </c>
      <c r="I256" s="5">
        <v>1</v>
      </c>
      <c r="J256" s="5">
        <v>1</v>
      </c>
      <c r="K256" s="5">
        <v>1</v>
      </c>
      <c r="L256" s="5">
        <v>1</v>
      </c>
      <c r="M256" s="5">
        <v>1</v>
      </c>
      <c r="N256" s="5">
        <v>1</v>
      </c>
      <c r="O256" s="5">
        <v>1</v>
      </c>
      <c r="P256" s="5">
        <v>1</v>
      </c>
      <c r="Q256" s="5">
        <v>1</v>
      </c>
      <c r="R256" s="5">
        <v>1</v>
      </c>
      <c r="S256" cm="1">
        <f t="array" ref="S256">GetLatitude(U256)</f>
        <v>28.766193099999999</v>
      </c>
      <c r="T256" cm="1">
        <f t="array" ref="T256">GetLongitude(U256)</f>
        <v>71.3427978</v>
      </c>
      <c r="U256" t="str">
        <f t="shared" si="9"/>
        <v>The Abbasi Royal Graveyard, Bhawalpur, PK</v>
      </c>
      <c r="V256" t="str" cm="1">
        <f t="array" ref="V256">GetCoordinates(U256)</f>
        <v>28.7661931, 71.3427978</v>
      </c>
      <c r="W256" s="13" cm="1">
        <f t="array" ref="W256">TravelTime(A256,U256,AB256)</f>
        <v>23293</v>
      </c>
      <c r="X256" s="13">
        <f t="shared" si="10"/>
        <v>388.21666666666664</v>
      </c>
      <c r="Y256" s="13" cm="1">
        <f t="array" ref="Y256">TravelDistance(A256,U256,AB256)</f>
        <v>514538</v>
      </c>
      <c r="Z256" s="13" t="str">
        <f t="shared" si="11"/>
        <v>514.54km</v>
      </c>
      <c r="AA256" s="14" t="s">
        <v>361</v>
      </c>
      <c r="AB256" t="s">
        <v>355</v>
      </c>
    </row>
    <row r="257" spans="1:28" ht="15" x14ac:dyDescent="0.25">
      <c r="A257" s="2" t="s">
        <v>190</v>
      </c>
      <c r="B257" s="2" t="s">
        <v>34</v>
      </c>
      <c r="D257" s="3" t="s">
        <v>45</v>
      </c>
      <c r="E257" s="4" t="s">
        <v>29</v>
      </c>
      <c r="F257" s="4" t="s">
        <v>46</v>
      </c>
      <c r="G257" s="5">
        <v>0</v>
      </c>
      <c r="H257" s="5">
        <v>1</v>
      </c>
      <c r="I257" s="5">
        <v>1</v>
      </c>
      <c r="J257" s="5">
        <v>1</v>
      </c>
      <c r="K257" s="5">
        <v>1</v>
      </c>
      <c r="L257" s="5">
        <v>1</v>
      </c>
      <c r="M257" s="5">
        <v>1</v>
      </c>
      <c r="N257" s="5">
        <v>1</v>
      </c>
      <c r="O257" s="5">
        <v>1</v>
      </c>
      <c r="P257" s="5">
        <v>1</v>
      </c>
      <c r="Q257" s="5">
        <v>1</v>
      </c>
      <c r="R257" s="5">
        <v>1</v>
      </c>
      <c r="S257" cm="1">
        <f t="array" ref="S257">GetLatitude(U257)</f>
        <v>29.378965399999998</v>
      </c>
      <c r="T257" cm="1">
        <f t="array" ref="T257">GetLongitude(U257)</f>
        <v>71.667930600000005</v>
      </c>
      <c r="U257" t="str">
        <f t="shared" si="9"/>
        <v>Noor Mahal, Bhawalpur, PK</v>
      </c>
      <c r="V257" t="str" cm="1">
        <f t="array" ref="V257">GetCoordinates(U257)</f>
        <v>29.3789654, 71.6679306</v>
      </c>
      <c r="W257" s="13" cm="1">
        <f t="array" ref="W257">TravelTime(A257,U257,AB257)</f>
        <v>18789</v>
      </c>
      <c r="X257" s="13">
        <f t="shared" si="10"/>
        <v>313.14999999999998</v>
      </c>
      <c r="Y257" s="13" cm="1">
        <f t="array" ref="Y257">TravelDistance(A257,U257,AB257)</f>
        <v>426730</v>
      </c>
      <c r="Z257" s="13" t="str">
        <f t="shared" si="11"/>
        <v>426.73km</v>
      </c>
      <c r="AA257" s="14" t="s">
        <v>361</v>
      </c>
      <c r="AB257" t="s">
        <v>355</v>
      </c>
    </row>
    <row r="258" spans="1:28" ht="15" x14ac:dyDescent="0.25">
      <c r="A258" s="2" t="s">
        <v>190</v>
      </c>
      <c r="B258" s="2" t="s">
        <v>34</v>
      </c>
      <c r="D258" s="3" t="s">
        <v>28</v>
      </c>
      <c r="E258" s="4" t="s">
        <v>29</v>
      </c>
      <c r="F258" s="4" t="s">
        <v>47</v>
      </c>
      <c r="G258" s="5">
        <v>0</v>
      </c>
      <c r="H258" s="5">
        <v>1</v>
      </c>
      <c r="I258" s="5">
        <v>1</v>
      </c>
      <c r="J258" s="5">
        <v>1</v>
      </c>
      <c r="K258" s="5">
        <v>1</v>
      </c>
      <c r="L258" s="5">
        <v>1</v>
      </c>
      <c r="M258" s="5">
        <v>1</v>
      </c>
      <c r="N258" s="5">
        <v>1</v>
      </c>
      <c r="O258" s="5">
        <v>1</v>
      </c>
      <c r="P258" s="5">
        <v>1</v>
      </c>
      <c r="Q258" s="5">
        <v>1</v>
      </c>
      <c r="R258" s="5">
        <v>1</v>
      </c>
      <c r="S258" cm="1">
        <f t="array" ref="S258">GetLatitude(U258)</f>
        <v>29.240869499999999</v>
      </c>
      <c r="T258" cm="1">
        <f t="array" ref="T258">GetLongitude(U258)</f>
        <v>71.052482600000005</v>
      </c>
      <c r="U258" t="str">
        <f t="shared" si="9"/>
        <v>Tomb of Bibi Jawindi, Bhawalpur, PK</v>
      </c>
      <c r="V258" t="str" cm="1">
        <f t="array" ref="V258">GetCoordinates(U258)</f>
        <v>29.2408695, 71.0524826</v>
      </c>
      <c r="W258" s="13" cm="1">
        <f t="array" ref="W258">TravelTime(A258,U258,AB258)</f>
        <v>19079</v>
      </c>
      <c r="X258" s="13">
        <f t="shared" si="10"/>
        <v>317.98333333333335</v>
      </c>
      <c r="Y258" s="13" cm="1">
        <f t="array" ref="Y258">TravelDistance(A258,U258,AB258)</f>
        <v>457927</v>
      </c>
      <c r="Z258" s="13" t="str">
        <f t="shared" si="11"/>
        <v>457.93km</v>
      </c>
      <c r="AA258" s="14" t="s">
        <v>361</v>
      </c>
      <c r="AB258" t="s">
        <v>355</v>
      </c>
    </row>
    <row r="259" spans="1:28" ht="15" x14ac:dyDescent="0.25">
      <c r="A259" s="2" t="s">
        <v>190</v>
      </c>
      <c r="B259" s="2" t="s">
        <v>34</v>
      </c>
      <c r="D259" s="3" t="s">
        <v>28</v>
      </c>
      <c r="E259" s="4" t="s">
        <v>29</v>
      </c>
      <c r="F259" s="4" t="s">
        <v>48</v>
      </c>
      <c r="G259" s="5">
        <v>0</v>
      </c>
      <c r="H259" s="5">
        <v>1</v>
      </c>
      <c r="I259" s="5">
        <v>1</v>
      </c>
      <c r="J259" s="5">
        <v>1</v>
      </c>
      <c r="K259" s="5">
        <v>1</v>
      </c>
      <c r="L259" s="5">
        <v>1</v>
      </c>
      <c r="M259" s="5">
        <v>1</v>
      </c>
      <c r="N259" s="5">
        <v>1</v>
      </c>
      <c r="O259" s="5">
        <v>1</v>
      </c>
      <c r="P259" s="5">
        <v>1</v>
      </c>
      <c r="Q259" s="5">
        <v>1</v>
      </c>
      <c r="R259" s="5">
        <v>1</v>
      </c>
      <c r="S259" cm="1">
        <f t="array" ref="S259">GetLatitude(U259)</f>
        <v>29.396661399999999</v>
      </c>
      <c r="T259" cm="1">
        <f t="array" ref="T259">GetLongitude(U259)</f>
        <v>71.699793799999995</v>
      </c>
      <c r="U259" t="str">
        <f t="shared" ref="U259:U322" si="12">F259&amp;", "&amp;B259&amp;", "&amp;AA259</f>
        <v>Darbar Mahal, Bhawalpur, PK</v>
      </c>
      <c r="V259" t="str" cm="1">
        <f t="array" ref="V259">GetCoordinates(U259)</f>
        <v>29.3966614, 71.6997938</v>
      </c>
      <c r="W259" s="13" cm="1">
        <f t="array" ref="W259">TravelTime(A259,U259,AB259)</f>
        <v>18444</v>
      </c>
      <c r="X259" s="13">
        <f t="shared" ref="X259:X322" si="13">W259/60</f>
        <v>307.39999999999998</v>
      </c>
      <c r="Y259" s="13" cm="1">
        <f t="array" ref="Y259">TravelDistance(A259,U259,AB259)</f>
        <v>425194</v>
      </c>
      <c r="Z259" s="13" t="str">
        <f t="shared" ref="Z259:Z322" si="14">ROUND(Y259/1000,2)&amp;"km"</f>
        <v>425.19km</v>
      </c>
      <c r="AA259" s="14" t="s">
        <v>361</v>
      </c>
      <c r="AB259" t="s">
        <v>355</v>
      </c>
    </row>
    <row r="260" spans="1:28" ht="15" x14ac:dyDescent="0.25">
      <c r="A260" s="2" t="s">
        <v>190</v>
      </c>
      <c r="B260" s="2" t="s">
        <v>34</v>
      </c>
      <c r="D260" s="3" t="s">
        <v>28</v>
      </c>
      <c r="E260" s="4" t="s">
        <v>29</v>
      </c>
      <c r="F260" s="4" t="s">
        <v>49</v>
      </c>
      <c r="G260" s="5">
        <v>0</v>
      </c>
      <c r="H260" s="5">
        <v>1</v>
      </c>
      <c r="I260" s="5">
        <v>1</v>
      </c>
      <c r="J260" s="5">
        <v>1</v>
      </c>
      <c r="K260" s="5">
        <v>1</v>
      </c>
      <c r="L260" s="5">
        <v>1</v>
      </c>
      <c r="M260" s="5">
        <v>1</v>
      </c>
      <c r="N260" s="5">
        <v>1</v>
      </c>
      <c r="O260" s="5">
        <v>1</v>
      </c>
      <c r="P260" s="5">
        <v>1</v>
      </c>
      <c r="Q260" s="5">
        <v>1</v>
      </c>
      <c r="R260" s="5">
        <v>1</v>
      </c>
      <c r="S260" cm="1">
        <f t="array" ref="S260">GetLatitude(U260)</f>
        <v>29.35435</v>
      </c>
      <c r="T260" cm="1">
        <f t="array" ref="T260">GetLongitude(U260)</f>
        <v>71.691066000000006</v>
      </c>
      <c r="U260" t="str">
        <f t="shared" si="12"/>
        <v>Jalaluddin Surkh-Posh Bukhari, Bhawalpur, PK</v>
      </c>
      <c r="V260" t="str" cm="1">
        <f t="array" ref="V260">GetCoordinates(U260)</f>
        <v>29.3543500, 71.6910660</v>
      </c>
      <c r="W260" s="13" cm="1">
        <f t="array" ref="W260">TravelTime(A260,U260,AB260)</f>
        <v>19029</v>
      </c>
      <c r="X260" s="13">
        <f t="shared" si="13"/>
        <v>317.14999999999998</v>
      </c>
      <c r="Y260" s="13" cm="1">
        <f t="array" ref="Y260">TravelDistance(A260,U260,AB260)</f>
        <v>431055</v>
      </c>
      <c r="Z260" s="13" t="str">
        <f t="shared" si="14"/>
        <v>431.06km</v>
      </c>
      <c r="AA260" s="14" t="s">
        <v>361</v>
      </c>
      <c r="AB260" t="s">
        <v>355</v>
      </c>
    </row>
    <row r="261" spans="1:28" ht="15" x14ac:dyDescent="0.25">
      <c r="A261" s="2" t="s">
        <v>190</v>
      </c>
      <c r="B261" s="2" t="s">
        <v>34</v>
      </c>
      <c r="D261" s="3" t="s">
        <v>28</v>
      </c>
      <c r="E261" s="4" t="s">
        <v>29</v>
      </c>
      <c r="F261" s="4" t="s">
        <v>50</v>
      </c>
      <c r="G261" s="5">
        <v>0</v>
      </c>
      <c r="H261" s="5">
        <v>1</v>
      </c>
      <c r="I261" s="5">
        <v>1</v>
      </c>
      <c r="J261" s="5">
        <v>1</v>
      </c>
      <c r="K261" s="5">
        <v>1</v>
      </c>
      <c r="L261" s="5">
        <v>1</v>
      </c>
      <c r="M261" s="5">
        <v>1</v>
      </c>
      <c r="N261" s="5">
        <v>1</v>
      </c>
      <c r="O261" s="5">
        <v>1</v>
      </c>
      <c r="P261" s="5">
        <v>1</v>
      </c>
      <c r="Q261" s="5">
        <v>1</v>
      </c>
      <c r="R261" s="5">
        <v>1</v>
      </c>
      <c r="S261" cm="1">
        <f t="array" ref="S261">GetLatitude(U261)</f>
        <v>29.395664700000001</v>
      </c>
      <c r="T261" cm="1">
        <f t="array" ref="T261">GetLongitude(U261)</f>
        <v>71.674287800000002</v>
      </c>
      <c r="U261" t="str">
        <f t="shared" si="12"/>
        <v>Jamia Masjid Al Sadiq, Bhawalpur, PK</v>
      </c>
      <c r="V261" t="str" cm="1">
        <f t="array" ref="V261">GetCoordinates(U261)</f>
        <v>29.3956647, 71.6742878</v>
      </c>
      <c r="W261" s="13" cm="1">
        <f t="array" ref="W261">TravelTime(A261,U261,AB261)</f>
        <v>18401</v>
      </c>
      <c r="X261" s="13">
        <f t="shared" si="13"/>
        <v>306.68333333333334</v>
      </c>
      <c r="Y261" s="13" cm="1">
        <f t="array" ref="Y261">TravelDistance(A261,U261,AB261)</f>
        <v>424219</v>
      </c>
      <c r="Z261" s="13" t="str">
        <f t="shared" si="14"/>
        <v>424.22km</v>
      </c>
      <c r="AA261" s="14" t="s">
        <v>361</v>
      </c>
      <c r="AB261" t="s">
        <v>355</v>
      </c>
    </row>
    <row r="262" spans="1:28" ht="15" x14ac:dyDescent="0.25">
      <c r="A262" s="2" t="s">
        <v>190</v>
      </c>
      <c r="B262" s="2" t="s">
        <v>34</v>
      </c>
      <c r="D262" s="3" t="s">
        <v>28</v>
      </c>
      <c r="E262" s="4" t="s">
        <v>29</v>
      </c>
      <c r="F262" s="4" t="s">
        <v>51</v>
      </c>
      <c r="G262" s="5">
        <v>0</v>
      </c>
      <c r="H262" s="5">
        <v>1</v>
      </c>
      <c r="I262" s="5">
        <v>1</v>
      </c>
      <c r="J262" s="5">
        <v>1</v>
      </c>
      <c r="K262" s="5">
        <v>1</v>
      </c>
      <c r="L262" s="5">
        <v>1</v>
      </c>
      <c r="M262" s="5">
        <v>1</v>
      </c>
      <c r="N262" s="5">
        <v>1</v>
      </c>
      <c r="O262" s="5">
        <v>1</v>
      </c>
      <c r="P262" s="5">
        <v>1</v>
      </c>
      <c r="Q262" s="5">
        <v>1</v>
      </c>
      <c r="R262" s="5">
        <v>1</v>
      </c>
      <c r="S262" cm="1">
        <f t="array" ref="S262">GetLatitude(U262)</f>
        <v>29.825834</v>
      </c>
      <c r="T262" cm="1">
        <f t="array" ref="T262">GetLongitude(U262)</f>
        <v>72.550798999999998</v>
      </c>
      <c r="U262" t="str">
        <f t="shared" si="12"/>
        <v>Islam Barrage, Bhawalpur, PK</v>
      </c>
      <c r="V262" t="str" cm="1">
        <f t="array" ref="V262">GetCoordinates(U262)</f>
        <v>29.8258340, 72.5507990</v>
      </c>
      <c r="W262" s="13" cm="1">
        <f t="array" ref="W262">TravelTime(A262,U262,AB262)</f>
        <v>17421</v>
      </c>
      <c r="X262" s="13">
        <f t="shared" si="13"/>
        <v>290.35000000000002</v>
      </c>
      <c r="Y262" s="13" cm="1">
        <f t="array" ref="Y262">TravelDistance(A262,U262,AB262)</f>
        <v>334819</v>
      </c>
      <c r="Z262" s="13" t="str">
        <f t="shared" si="14"/>
        <v>334.82km</v>
      </c>
      <c r="AA262" s="14" t="s">
        <v>361</v>
      </c>
      <c r="AB262" t="s">
        <v>355</v>
      </c>
    </row>
    <row r="263" spans="1:28" ht="15" x14ac:dyDescent="0.25">
      <c r="A263" s="2" t="s">
        <v>190</v>
      </c>
      <c r="B263" s="2" t="s">
        <v>34</v>
      </c>
      <c r="D263" s="3" t="s">
        <v>52</v>
      </c>
      <c r="E263" s="4" t="s">
        <v>29</v>
      </c>
      <c r="F263" s="4" t="s">
        <v>53</v>
      </c>
      <c r="G263" s="5">
        <v>0</v>
      </c>
      <c r="H263" s="5">
        <v>1</v>
      </c>
      <c r="I263" s="5">
        <v>1</v>
      </c>
      <c r="J263" s="5">
        <v>1</v>
      </c>
      <c r="K263" s="5">
        <v>1</v>
      </c>
      <c r="L263" s="5">
        <v>1</v>
      </c>
      <c r="M263" s="5">
        <v>1</v>
      </c>
      <c r="N263" s="5">
        <v>1</v>
      </c>
      <c r="O263" s="5">
        <v>1</v>
      </c>
      <c r="P263" s="5">
        <v>1</v>
      </c>
      <c r="Q263" s="5">
        <v>1</v>
      </c>
      <c r="R263" s="5">
        <v>1</v>
      </c>
      <c r="S263" cm="1">
        <f t="array" ref="S263">GetLatitude(U263)</f>
        <v>28.7683784</v>
      </c>
      <c r="T263" cm="1">
        <f t="array" ref="T263">GetLongitude(U263)</f>
        <v>71.337901400000007</v>
      </c>
      <c r="U263" t="str">
        <f t="shared" si="12"/>
        <v>Derawar Fort, Bhawalpur, PK</v>
      </c>
      <c r="V263" t="str" cm="1">
        <f t="array" ref="V263">GetCoordinates(U263)</f>
        <v>28.7683784, 71.3379014</v>
      </c>
      <c r="W263" s="13" cm="1">
        <f t="array" ref="W263">TravelTime(A263,U263,AB263)</f>
        <v>23294</v>
      </c>
      <c r="X263" s="13">
        <f t="shared" si="13"/>
        <v>388.23333333333335</v>
      </c>
      <c r="Y263" s="13" cm="1">
        <f t="array" ref="Y263">TravelDistance(A263,U263,AB263)</f>
        <v>514610</v>
      </c>
      <c r="Z263" s="13" t="str">
        <f t="shared" si="14"/>
        <v>514.61km</v>
      </c>
      <c r="AA263" s="14" t="s">
        <v>361</v>
      </c>
      <c r="AB263" t="s">
        <v>355</v>
      </c>
    </row>
    <row r="264" spans="1:28" ht="15" x14ac:dyDescent="0.25">
      <c r="A264" s="2" t="s">
        <v>190</v>
      </c>
      <c r="B264" s="2" t="s">
        <v>34</v>
      </c>
      <c r="D264" s="3" t="s">
        <v>54</v>
      </c>
      <c r="E264" s="4" t="s">
        <v>55</v>
      </c>
      <c r="F264" s="4" t="s">
        <v>56</v>
      </c>
      <c r="G264" s="5">
        <v>0</v>
      </c>
      <c r="H264" s="5">
        <v>1</v>
      </c>
      <c r="I264" s="5">
        <v>1</v>
      </c>
      <c r="J264" s="5">
        <v>1</v>
      </c>
      <c r="K264" s="5">
        <v>1</v>
      </c>
      <c r="L264" s="5">
        <v>1</v>
      </c>
      <c r="M264" s="5">
        <v>1</v>
      </c>
      <c r="N264" s="5">
        <v>1</v>
      </c>
      <c r="O264" s="5">
        <v>1</v>
      </c>
      <c r="P264" s="5">
        <v>1</v>
      </c>
      <c r="Q264" s="5">
        <v>1</v>
      </c>
      <c r="R264" s="5">
        <v>1</v>
      </c>
      <c r="S264" cm="1">
        <f t="array" ref="S264">GetLatitude(U264)</f>
        <v>29.393680400000001</v>
      </c>
      <c r="T264" cm="1">
        <f t="array" ref="T264">GetLongitude(U264)</f>
        <v>71.661835499999995</v>
      </c>
      <c r="U264" t="str">
        <f t="shared" si="12"/>
        <v>Ss World Park, Bhawalpur, PK</v>
      </c>
      <c r="V264" t="str" cm="1">
        <f t="array" ref="V264">GetCoordinates(U264)</f>
        <v>29.3936804, 71.6618355</v>
      </c>
      <c r="W264" s="13" cm="1">
        <f t="array" ref="W264">TravelTime(A264,U264,AB264)</f>
        <v>18396</v>
      </c>
      <c r="X264" s="13">
        <f t="shared" si="13"/>
        <v>306.60000000000002</v>
      </c>
      <c r="Y264" s="13" cm="1">
        <f t="array" ref="Y264">TravelDistance(A264,U264,AB264)</f>
        <v>424565</v>
      </c>
      <c r="Z264" s="13" t="str">
        <f t="shared" si="14"/>
        <v>424.57km</v>
      </c>
      <c r="AA264" s="14" t="s">
        <v>361</v>
      </c>
      <c r="AB264" t="s">
        <v>355</v>
      </c>
    </row>
    <row r="265" spans="1:28" ht="15" x14ac:dyDescent="0.25">
      <c r="A265" s="2" t="s">
        <v>190</v>
      </c>
      <c r="B265" s="2" t="s">
        <v>57</v>
      </c>
      <c r="D265" s="3" t="s">
        <v>54</v>
      </c>
      <c r="E265" s="4" t="s">
        <v>29</v>
      </c>
      <c r="F265" s="4" t="s">
        <v>58</v>
      </c>
      <c r="G265" s="5">
        <v>1</v>
      </c>
      <c r="H265" s="5">
        <v>1</v>
      </c>
      <c r="I265" s="5">
        <v>1</v>
      </c>
      <c r="J265" s="5">
        <v>1</v>
      </c>
      <c r="K265" s="5">
        <v>1</v>
      </c>
      <c r="L265" s="5">
        <v>1</v>
      </c>
      <c r="M265" s="5">
        <v>1</v>
      </c>
      <c r="N265" s="5">
        <v>1</v>
      </c>
      <c r="O265" s="5">
        <v>1</v>
      </c>
      <c r="P265" s="5">
        <v>1</v>
      </c>
      <c r="Q265" s="5">
        <v>0</v>
      </c>
      <c r="R265" s="5">
        <v>0</v>
      </c>
      <c r="S265" cm="1">
        <f t="array" ref="S265">GetLatitude(U265)</f>
        <v>35.146236000000002</v>
      </c>
      <c r="T265" cm="1">
        <f t="array" ref="T265">GetLongitude(U265)</f>
        <v>74.048171600000003</v>
      </c>
      <c r="U265" t="str">
        <f t="shared" si="12"/>
        <v>Babusar Pass, Chillas, PK</v>
      </c>
      <c r="V265" t="str" cm="1">
        <f t="array" ref="V265">GetCoordinates(U265)</f>
        <v>35.1462360, 74.0481716</v>
      </c>
      <c r="W265" s="13" t="e" cm="1">
        <f t="array" ref="W265">TravelTime(A265,U265,AB265)</f>
        <v>#VALUE!</v>
      </c>
      <c r="X265" s="13" t="e">
        <f t="shared" si="13"/>
        <v>#VALUE!</v>
      </c>
      <c r="Y265" s="13" cm="1">
        <f t="array" ref="Y265">TravelDistance(A265,U265,AB265)</f>
        <v>681824</v>
      </c>
      <c r="Z265" s="13" t="str">
        <f t="shared" si="14"/>
        <v>681.82km</v>
      </c>
      <c r="AA265" s="14" t="s">
        <v>361</v>
      </c>
      <c r="AB265" t="s">
        <v>355</v>
      </c>
    </row>
    <row r="266" spans="1:28" ht="15" x14ac:dyDescent="0.25">
      <c r="A266" s="2" t="s">
        <v>190</v>
      </c>
      <c r="B266" s="2" t="s">
        <v>59</v>
      </c>
      <c r="D266" s="3" t="s">
        <v>60</v>
      </c>
      <c r="E266" s="4" t="s">
        <v>21</v>
      </c>
      <c r="F266" s="4" t="s">
        <v>61</v>
      </c>
      <c r="G266" s="5">
        <v>1</v>
      </c>
      <c r="H266" s="5">
        <v>1</v>
      </c>
      <c r="I266" s="5">
        <v>1</v>
      </c>
      <c r="J266" s="5">
        <v>1</v>
      </c>
      <c r="K266" s="5">
        <v>1</v>
      </c>
      <c r="L266" s="5">
        <v>1</v>
      </c>
      <c r="M266" s="5">
        <v>1</v>
      </c>
      <c r="N266" s="5">
        <v>1</v>
      </c>
      <c r="O266" s="5">
        <v>1</v>
      </c>
      <c r="P266" s="5">
        <v>1</v>
      </c>
      <c r="Q266" s="5">
        <v>0</v>
      </c>
      <c r="R266" s="5">
        <v>0</v>
      </c>
      <c r="S266" cm="1">
        <f t="array" ref="S266">GetLatitude(U266)</f>
        <v>35.769883200000002</v>
      </c>
      <c r="T266" cm="1">
        <f t="array" ref="T266">GetLongitude(U266)</f>
        <v>71.774110300000004</v>
      </c>
      <c r="U266" t="str">
        <f t="shared" si="12"/>
        <v>Chitral Valley, Chitral, PK</v>
      </c>
      <c r="V266" t="str" cm="1">
        <f t="array" ref="V266">GetCoordinates(U266)</f>
        <v>35.7698832, 71.7741103</v>
      </c>
      <c r="W266" s="13" t="e" cm="1">
        <f t="array" ref="W266">TravelTime(A266,U266,AB266)</f>
        <v>#VALUE!</v>
      </c>
      <c r="X266" s="13" t="e">
        <f t="shared" si="13"/>
        <v>#VALUE!</v>
      </c>
      <c r="Y266" s="13" cm="1">
        <f t="array" ref="Y266">TravelDistance(A266,U266,AB266)</f>
        <v>723787</v>
      </c>
      <c r="Z266" s="13" t="str">
        <f t="shared" si="14"/>
        <v>723.79km</v>
      </c>
      <c r="AA266" s="14" t="s">
        <v>361</v>
      </c>
      <c r="AB266" t="s">
        <v>355</v>
      </c>
    </row>
    <row r="267" spans="1:28" ht="15" x14ac:dyDescent="0.25">
      <c r="A267" s="2" t="s">
        <v>190</v>
      </c>
      <c r="B267" s="2" t="s">
        <v>59</v>
      </c>
      <c r="D267" s="3" t="s">
        <v>60</v>
      </c>
      <c r="E267" s="4" t="s">
        <v>21</v>
      </c>
      <c r="F267" s="4" t="s">
        <v>62</v>
      </c>
      <c r="G267" s="5">
        <v>1</v>
      </c>
      <c r="H267" s="5">
        <v>1</v>
      </c>
      <c r="I267" s="5">
        <v>1</v>
      </c>
      <c r="J267" s="5">
        <v>1</v>
      </c>
      <c r="K267" s="5">
        <v>1</v>
      </c>
      <c r="L267" s="5">
        <v>1</v>
      </c>
      <c r="M267" s="5">
        <v>1</v>
      </c>
      <c r="N267" s="5">
        <v>1</v>
      </c>
      <c r="O267" s="5">
        <v>1</v>
      </c>
      <c r="P267" s="5">
        <v>1</v>
      </c>
      <c r="Q267" s="5">
        <v>0</v>
      </c>
      <c r="R267" s="5">
        <v>0</v>
      </c>
      <c r="S267" cm="1">
        <f t="array" ref="S267">GetLatitude(U267)</f>
        <v>35.6983198</v>
      </c>
      <c r="T267" cm="1">
        <f t="array" ref="T267">GetLongitude(U267)</f>
        <v>71.6913847</v>
      </c>
      <c r="U267" t="str">
        <f t="shared" si="12"/>
        <v>Bumburet Valley, Chitral, PK</v>
      </c>
      <c r="V267" t="str" cm="1">
        <f t="array" ref="V267">GetCoordinates(U267)</f>
        <v>35.6983198, 71.6913847</v>
      </c>
      <c r="W267" s="13" t="e" cm="1">
        <f t="array" ref="W267">TravelTime(A267,U267,AB267)</f>
        <v>#VALUE!</v>
      </c>
      <c r="X267" s="13" t="e">
        <f t="shared" si="13"/>
        <v>#VALUE!</v>
      </c>
      <c r="Y267" s="13" cm="1">
        <f t="array" ref="Y267">TravelDistance(A267,U267,AB267)</f>
        <v>736025</v>
      </c>
      <c r="Z267" s="13" t="str">
        <f t="shared" si="14"/>
        <v>736.03km</v>
      </c>
      <c r="AA267" s="14" t="s">
        <v>361</v>
      </c>
      <c r="AB267" t="s">
        <v>355</v>
      </c>
    </row>
    <row r="268" spans="1:28" ht="15" x14ac:dyDescent="0.25">
      <c r="A268" s="2" t="s">
        <v>190</v>
      </c>
      <c r="B268" s="2" t="s">
        <v>59</v>
      </c>
      <c r="D268" s="3" t="s">
        <v>60</v>
      </c>
      <c r="E268" s="4" t="s">
        <v>21</v>
      </c>
      <c r="F268" s="4" t="s">
        <v>63</v>
      </c>
      <c r="G268" s="5">
        <v>1</v>
      </c>
      <c r="H268" s="5">
        <v>1</v>
      </c>
      <c r="I268" s="5">
        <v>1</v>
      </c>
      <c r="J268" s="5">
        <v>1</v>
      </c>
      <c r="K268" s="5">
        <v>1</v>
      </c>
      <c r="L268" s="5">
        <v>1</v>
      </c>
      <c r="M268" s="5">
        <v>1</v>
      </c>
      <c r="N268" s="5">
        <v>1</v>
      </c>
      <c r="O268" s="5">
        <v>1</v>
      </c>
      <c r="P268" s="5">
        <v>1</v>
      </c>
      <c r="Q268" s="5">
        <v>0</v>
      </c>
      <c r="R268" s="5">
        <v>0</v>
      </c>
      <c r="S268" cm="1">
        <f t="array" ref="S268">GetLatitude(U268)</f>
        <v>35.894805900000001</v>
      </c>
      <c r="T268" cm="1">
        <f t="array" ref="T268">GetLongitude(U268)</f>
        <v>71.691620499999999</v>
      </c>
      <c r="U268" t="str">
        <f t="shared" si="12"/>
        <v>Chitral Gol National Park, Chitral, PK</v>
      </c>
      <c r="V268" t="str" cm="1">
        <f t="array" ref="V268">GetCoordinates(U268)</f>
        <v>35.8948059, 71.6916205</v>
      </c>
      <c r="W268" s="13" t="e" cm="1">
        <f t="array" ref="W268">TravelTime(A268,U268,AB268)</f>
        <v>#VALUE!</v>
      </c>
      <c r="X268" s="13" t="e">
        <f t="shared" si="13"/>
        <v>#VALUE!</v>
      </c>
      <c r="Y268" s="13" t="e" cm="1">
        <f t="array" ref="Y268">TravelDistance(A268,U268,AB268)</f>
        <v>#VALUE!</v>
      </c>
      <c r="Z268" s="13" t="e">
        <f t="shared" si="14"/>
        <v>#VALUE!</v>
      </c>
      <c r="AA268" s="14" t="s">
        <v>361</v>
      </c>
      <c r="AB268" t="s">
        <v>355</v>
      </c>
    </row>
    <row r="269" spans="1:28" ht="15" x14ac:dyDescent="0.25">
      <c r="A269" s="2" t="s">
        <v>190</v>
      </c>
      <c r="B269" s="2" t="s">
        <v>59</v>
      </c>
      <c r="D269" s="3" t="s">
        <v>64</v>
      </c>
      <c r="E269" s="4" t="s">
        <v>25</v>
      </c>
      <c r="F269" s="4" t="s">
        <v>65</v>
      </c>
      <c r="G269" s="5">
        <v>1</v>
      </c>
      <c r="H269" s="5">
        <v>1</v>
      </c>
      <c r="I269" s="5">
        <v>1</v>
      </c>
      <c r="J269" s="5">
        <v>1</v>
      </c>
      <c r="K269" s="5">
        <v>1</v>
      </c>
      <c r="L269" s="5">
        <v>1</v>
      </c>
      <c r="M269" s="5">
        <v>1</v>
      </c>
      <c r="N269" s="5">
        <v>1</v>
      </c>
      <c r="O269" s="5">
        <v>1</v>
      </c>
      <c r="P269" s="5">
        <v>1</v>
      </c>
      <c r="Q269" s="5">
        <v>0</v>
      </c>
      <c r="R269" s="5">
        <v>0</v>
      </c>
      <c r="S269" cm="1">
        <f t="array" ref="S269">GetLatitude(U269)</f>
        <v>36.074444399999997</v>
      </c>
      <c r="T269" cm="1">
        <f t="array" ref="T269">GetLongitude(U269)</f>
        <v>72.518055599999997</v>
      </c>
      <c r="U269" t="str">
        <f t="shared" si="12"/>
        <v>Shandur Pass, Chitral, PK</v>
      </c>
      <c r="V269" t="str" cm="1">
        <f t="array" ref="V269">GetCoordinates(U269)</f>
        <v>36.0744444, 72.5180556</v>
      </c>
      <c r="W269" s="13" t="e" cm="1">
        <f t="array" ref="W269">TravelTime(A269,U269,AB269)</f>
        <v>#VALUE!</v>
      </c>
      <c r="X269" s="13" t="e">
        <f t="shared" si="13"/>
        <v>#VALUE!</v>
      </c>
      <c r="Y269" s="13" cm="1">
        <f t="array" ref="Y269">TravelDistance(A269,U269,AB269)</f>
        <v>881292</v>
      </c>
      <c r="Z269" s="13" t="str">
        <f t="shared" si="14"/>
        <v>881.29km</v>
      </c>
      <c r="AA269" s="14" t="s">
        <v>361</v>
      </c>
      <c r="AB269" t="s">
        <v>355</v>
      </c>
    </row>
    <row r="270" spans="1:28" ht="15" x14ac:dyDescent="0.25">
      <c r="A270" s="2" t="s">
        <v>190</v>
      </c>
      <c r="B270" s="2" t="s">
        <v>59</v>
      </c>
      <c r="D270" s="3" t="s">
        <v>54</v>
      </c>
      <c r="E270" s="4" t="s">
        <v>21</v>
      </c>
      <c r="F270" s="4" t="s">
        <v>66</v>
      </c>
      <c r="G270" s="5">
        <v>1</v>
      </c>
      <c r="H270" s="5">
        <v>1</v>
      </c>
      <c r="I270" s="5">
        <v>1</v>
      </c>
      <c r="J270" s="5">
        <v>1</v>
      </c>
      <c r="K270" s="5">
        <v>1</v>
      </c>
      <c r="L270" s="5">
        <v>1</v>
      </c>
      <c r="M270" s="5">
        <v>1</v>
      </c>
      <c r="N270" s="5">
        <v>1</v>
      </c>
      <c r="O270" s="5">
        <v>1</v>
      </c>
      <c r="P270" s="5">
        <v>1</v>
      </c>
      <c r="Q270" s="5">
        <v>0</v>
      </c>
      <c r="R270" s="5">
        <v>0</v>
      </c>
      <c r="S270" cm="1">
        <f t="array" ref="S270">GetLatitude(U270)</f>
        <v>35.997466600000003</v>
      </c>
      <c r="T270" cm="1">
        <f t="array" ref="T270">GetLongitude(U270)</f>
        <v>71.563493300000005</v>
      </c>
      <c r="U270" t="str">
        <f t="shared" si="12"/>
        <v>Garam Chashma, Chitral, PK</v>
      </c>
      <c r="V270" t="str" cm="1">
        <f t="array" ref="V270">GetCoordinates(U270)</f>
        <v>35.9974666, 71.5634933</v>
      </c>
      <c r="W270" s="13" t="e" cm="1">
        <f t="array" ref="W270">TravelTime(A270,U270,AB270)</f>
        <v>#VALUE!</v>
      </c>
      <c r="X270" s="13" t="e">
        <f t="shared" si="13"/>
        <v>#VALUE!</v>
      </c>
      <c r="Y270" s="13" cm="1">
        <f t="array" ref="Y270">TravelDistance(A270,U270,AB270)</f>
        <v>779883</v>
      </c>
      <c r="Z270" s="13" t="str">
        <f t="shared" si="14"/>
        <v>779.88km</v>
      </c>
      <c r="AA270" s="14" t="s">
        <v>361</v>
      </c>
      <c r="AB270" t="s">
        <v>355</v>
      </c>
    </row>
    <row r="271" spans="1:28" ht="15" x14ac:dyDescent="0.25">
      <c r="A271" s="2" t="s">
        <v>190</v>
      </c>
      <c r="B271" s="2" t="s">
        <v>59</v>
      </c>
      <c r="D271" s="3" t="s">
        <v>54</v>
      </c>
      <c r="E271" s="4" t="s">
        <v>21</v>
      </c>
      <c r="F271" s="4" t="s">
        <v>67</v>
      </c>
      <c r="G271" s="5">
        <v>1</v>
      </c>
      <c r="H271" s="5">
        <v>1</v>
      </c>
      <c r="I271" s="5">
        <v>1</v>
      </c>
      <c r="J271" s="5">
        <v>1</v>
      </c>
      <c r="K271" s="5">
        <v>1</v>
      </c>
      <c r="L271" s="5">
        <v>1</v>
      </c>
      <c r="M271" s="5">
        <v>1</v>
      </c>
      <c r="N271" s="5">
        <v>1</v>
      </c>
      <c r="O271" s="5">
        <v>1</v>
      </c>
      <c r="P271" s="5">
        <v>1</v>
      </c>
      <c r="Q271" s="5">
        <v>0</v>
      </c>
      <c r="R271" s="5">
        <v>0</v>
      </c>
      <c r="S271" cm="1">
        <f t="array" ref="S271">GetLatitude(U271)</f>
        <v>36.878824000000002</v>
      </c>
      <c r="T271" cm="1">
        <f t="array" ref="T271">GetLongitude(U271)</f>
        <v>73.703651399999998</v>
      </c>
      <c r="U271" t="str">
        <f t="shared" si="12"/>
        <v>Karambar Lake, Chitral, PK</v>
      </c>
      <c r="V271" t="str" cm="1">
        <f t="array" ref="V271">GetCoordinates(U271)</f>
        <v>36.8788240, 73.7036514</v>
      </c>
      <c r="W271" s="13" t="e" cm="1">
        <f t="array" ref="W271">TravelTime(A271,U271,AB271)</f>
        <v>#VALUE!</v>
      </c>
      <c r="X271" s="13" t="e">
        <f t="shared" si="13"/>
        <v>#VALUE!</v>
      </c>
      <c r="Y271" s="13" t="e" cm="1">
        <f t="array" ref="Y271">TravelDistance(A271,U271,AB271)</f>
        <v>#VALUE!</v>
      </c>
      <c r="Z271" s="13" t="e">
        <f t="shared" si="14"/>
        <v>#VALUE!</v>
      </c>
      <c r="AA271" s="14" t="s">
        <v>361</v>
      </c>
      <c r="AB271" t="s">
        <v>355</v>
      </c>
    </row>
    <row r="272" spans="1:28" ht="15" x14ac:dyDescent="0.25">
      <c r="A272" s="2" t="s">
        <v>190</v>
      </c>
      <c r="B272" s="2" t="s">
        <v>59</v>
      </c>
      <c r="D272" s="3" t="s">
        <v>60</v>
      </c>
      <c r="E272" s="4" t="s">
        <v>21</v>
      </c>
      <c r="F272" s="4" t="s">
        <v>68</v>
      </c>
      <c r="G272" s="5">
        <v>1</v>
      </c>
      <c r="H272" s="5">
        <v>1</v>
      </c>
      <c r="I272" s="5">
        <v>1</v>
      </c>
      <c r="J272" s="5">
        <v>1</v>
      </c>
      <c r="K272" s="5">
        <v>1</v>
      </c>
      <c r="L272" s="5">
        <v>1</v>
      </c>
      <c r="M272" s="5">
        <v>1</v>
      </c>
      <c r="N272" s="5">
        <v>1</v>
      </c>
      <c r="O272" s="5">
        <v>1</v>
      </c>
      <c r="P272" s="5">
        <v>1</v>
      </c>
      <c r="Q272" s="5">
        <v>0</v>
      </c>
      <c r="R272" s="5">
        <v>0</v>
      </c>
      <c r="S272" cm="1">
        <f t="array" ref="S272">GetLatitude(U272)</f>
        <v>35.720396299999997</v>
      </c>
      <c r="T272" cm="1">
        <f t="array" ref="T272">GetLongitude(U272)</f>
        <v>71.751799300000002</v>
      </c>
      <c r="U272" t="str">
        <f t="shared" si="12"/>
        <v>Kalasha Valleys, Chitral, PK</v>
      </c>
      <c r="V272" t="str" cm="1">
        <f t="array" ref="V272">GetCoordinates(U272)</f>
        <v>35.7203963, 71.7517993</v>
      </c>
      <c r="W272" s="13" t="e" cm="1">
        <f t="array" ref="W272">TravelTime(A272,U272,AB272)</f>
        <v>#VALUE!</v>
      </c>
      <c r="X272" s="13" t="e">
        <f t="shared" si="13"/>
        <v>#VALUE!</v>
      </c>
      <c r="Y272" s="13" cm="1">
        <f t="array" ref="Y272">TravelDistance(A272,U272,AB272)</f>
        <v>725910</v>
      </c>
      <c r="Z272" s="13" t="str">
        <f t="shared" si="14"/>
        <v>725.91km</v>
      </c>
      <c r="AA272" s="14" t="s">
        <v>361</v>
      </c>
      <c r="AB272" t="s">
        <v>355</v>
      </c>
    </row>
    <row r="273" spans="1:28" ht="15" x14ac:dyDescent="0.25">
      <c r="A273" s="2" t="s">
        <v>190</v>
      </c>
      <c r="B273" s="2" t="s">
        <v>59</v>
      </c>
      <c r="D273" s="3" t="s">
        <v>69</v>
      </c>
      <c r="E273" s="4" t="s">
        <v>21</v>
      </c>
      <c r="F273" s="4" t="s">
        <v>70</v>
      </c>
      <c r="G273" s="5">
        <v>1</v>
      </c>
      <c r="H273" s="5">
        <v>1</v>
      </c>
      <c r="I273" s="5">
        <v>1</v>
      </c>
      <c r="J273" s="5">
        <v>1</v>
      </c>
      <c r="K273" s="5">
        <v>1</v>
      </c>
      <c r="L273" s="5">
        <v>1</v>
      </c>
      <c r="M273" s="5">
        <v>1</v>
      </c>
      <c r="N273" s="5">
        <v>1</v>
      </c>
      <c r="O273" s="5">
        <v>1</v>
      </c>
      <c r="P273" s="5">
        <v>1</v>
      </c>
      <c r="Q273" s="5">
        <v>0</v>
      </c>
      <c r="R273" s="5">
        <v>0</v>
      </c>
      <c r="S273" cm="1">
        <f t="array" ref="S273">GetLatitude(U273)</f>
        <v>36.255000000000003</v>
      </c>
      <c r="T273" cm="1">
        <f t="array" ref="T273">GetLongitude(U273)</f>
        <v>71.8408333</v>
      </c>
      <c r="U273" t="str">
        <f t="shared" si="12"/>
        <v>Tirich Mir, Chitral, PK</v>
      </c>
      <c r="V273" t="str" cm="1">
        <f t="array" ref="V273">GetCoordinates(U273)</f>
        <v>36.2550000, 71.8408333</v>
      </c>
      <c r="W273" s="13" t="e" cm="1">
        <f t="array" ref="W273">TravelTime(A273,U273,AB273)</f>
        <v>#VALUE!</v>
      </c>
      <c r="X273" s="13" t="e">
        <f t="shared" si="13"/>
        <v>#VALUE!</v>
      </c>
      <c r="Y273" s="13" t="e" cm="1">
        <f t="array" ref="Y273">TravelDistance(A273,U273,AB273)</f>
        <v>#VALUE!</v>
      </c>
      <c r="Z273" s="13" t="e">
        <f t="shared" si="14"/>
        <v>#VALUE!</v>
      </c>
      <c r="AA273" s="14" t="s">
        <v>361</v>
      </c>
      <c r="AB273" t="s">
        <v>355</v>
      </c>
    </row>
    <row r="274" spans="1:28" ht="15" x14ac:dyDescent="0.25">
      <c r="A274" s="2" t="s">
        <v>190</v>
      </c>
      <c r="B274" s="2" t="s">
        <v>59</v>
      </c>
      <c r="D274" s="3" t="s">
        <v>54</v>
      </c>
      <c r="E274" s="4" t="s">
        <v>21</v>
      </c>
      <c r="F274" s="4" t="s">
        <v>71</v>
      </c>
      <c r="G274" s="5">
        <v>1</v>
      </c>
      <c r="H274" s="5">
        <v>1</v>
      </c>
      <c r="I274" s="5">
        <v>1</v>
      </c>
      <c r="J274" s="5">
        <v>1</v>
      </c>
      <c r="K274" s="5">
        <v>1</v>
      </c>
      <c r="L274" s="5">
        <v>1</v>
      </c>
      <c r="M274" s="5">
        <v>1</v>
      </c>
      <c r="N274" s="5">
        <v>1</v>
      </c>
      <c r="O274" s="5">
        <v>1</v>
      </c>
      <c r="P274" s="5">
        <v>1</v>
      </c>
      <c r="Q274" s="5">
        <v>0</v>
      </c>
      <c r="R274" s="5">
        <v>0</v>
      </c>
      <c r="S274" cm="1">
        <f t="array" ref="S274">GetLatitude(U274)</f>
        <v>35.753887300000002</v>
      </c>
      <c r="T274" cm="1">
        <f t="array" ref="T274">GetLongitude(U274)</f>
        <v>71.703281700000005</v>
      </c>
      <c r="U274" t="str">
        <f t="shared" si="12"/>
        <v>Rumbur valley, Chitral, PK</v>
      </c>
      <c r="V274" t="str" cm="1">
        <f t="array" ref="V274">GetCoordinates(U274)</f>
        <v>35.7538873, 71.7032817</v>
      </c>
      <c r="W274" s="13" t="e" cm="1">
        <f t="array" ref="W274">TravelTime(A274,U274,AB274)</f>
        <v>#VALUE!</v>
      </c>
      <c r="X274" s="13" t="e">
        <f t="shared" si="13"/>
        <v>#VALUE!</v>
      </c>
      <c r="Y274" s="13" cm="1">
        <f t="array" ref="Y274">TravelDistance(A274,U274,AB274)</f>
        <v>733433</v>
      </c>
      <c r="Z274" s="13" t="str">
        <f t="shared" si="14"/>
        <v>733.43km</v>
      </c>
      <c r="AA274" s="14" t="s">
        <v>361</v>
      </c>
      <c r="AB274" t="s">
        <v>355</v>
      </c>
    </row>
    <row r="275" spans="1:28" ht="15" x14ac:dyDescent="0.25">
      <c r="A275" s="2" t="s">
        <v>190</v>
      </c>
      <c r="B275" s="6" t="s">
        <v>72</v>
      </c>
      <c r="D275" s="3" t="s">
        <v>28</v>
      </c>
      <c r="E275" s="4" t="s">
        <v>29</v>
      </c>
      <c r="F275" s="4" t="s">
        <v>73</v>
      </c>
      <c r="G275" s="5">
        <v>1</v>
      </c>
      <c r="H275" s="5">
        <v>1</v>
      </c>
      <c r="I275" s="5">
        <v>1</v>
      </c>
      <c r="J275" s="5">
        <v>1</v>
      </c>
      <c r="K275" s="5">
        <v>1</v>
      </c>
      <c r="L275" s="5">
        <v>1</v>
      </c>
      <c r="M275" s="5">
        <v>1</v>
      </c>
      <c r="N275" s="5">
        <v>1</v>
      </c>
      <c r="O275" s="5">
        <v>1</v>
      </c>
      <c r="P275" s="5">
        <v>1</v>
      </c>
      <c r="Q275" s="5">
        <v>1</v>
      </c>
      <c r="R275" s="5">
        <v>1</v>
      </c>
      <c r="S275" cm="1">
        <f t="array" ref="S275">GetLatitude(U275)</f>
        <v>31.485161399999999</v>
      </c>
      <c r="T275" cm="1">
        <f t="array" ref="T275">GetLongitude(U275)</f>
        <v>73.072579899999994</v>
      </c>
      <c r="U275" t="str">
        <f t="shared" si="12"/>
        <v>University of Agriculture, Faisalabad, PK</v>
      </c>
      <c r="V275" t="str" cm="1">
        <f t="array" ref="V275">GetCoordinates(U275)</f>
        <v>31.4851614, 73.0725799</v>
      </c>
      <c r="W275" s="13" cm="1">
        <f t="array" ref="W275">TravelTime(A275,U275,AB275)</f>
        <v>8335</v>
      </c>
      <c r="X275" s="13">
        <f t="shared" si="13"/>
        <v>138.91666666666666</v>
      </c>
      <c r="Y275" s="13" cm="1">
        <f t="array" ref="Y275">TravelDistance(A275,U275,AB275)</f>
        <v>176790</v>
      </c>
      <c r="Z275" s="13" t="str">
        <f t="shared" si="14"/>
        <v>176.79km</v>
      </c>
      <c r="AA275" s="14" t="s">
        <v>361</v>
      </c>
      <c r="AB275" t="s">
        <v>355</v>
      </c>
    </row>
    <row r="276" spans="1:28" ht="15" x14ac:dyDescent="0.25">
      <c r="A276" s="2" t="s">
        <v>190</v>
      </c>
      <c r="B276" s="6" t="s">
        <v>72</v>
      </c>
      <c r="D276" s="3" t="s">
        <v>28</v>
      </c>
      <c r="E276" s="4" t="s">
        <v>29</v>
      </c>
      <c r="F276" s="4" t="s">
        <v>75</v>
      </c>
      <c r="G276" s="5">
        <v>1</v>
      </c>
      <c r="H276" s="5">
        <v>1</v>
      </c>
      <c r="I276" s="5">
        <v>1</v>
      </c>
      <c r="J276" s="5">
        <v>1</v>
      </c>
      <c r="K276" s="5">
        <v>1</v>
      </c>
      <c r="L276" s="5">
        <v>1</v>
      </c>
      <c r="M276" s="5">
        <v>1</v>
      </c>
      <c r="N276" s="5">
        <v>1</v>
      </c>
      <c r="O276" s="5">
        <v>1</v>
      </c>
      <c r="P276" s="5">
        <v>1</v>
      </c>
      <c r="Q276" s="5">
        <v>1</v>
      </c>
      <c r="R276" s="5">
        <v>1</v>
      </c>
      <c r="S276" cm="1">
        <f t="array" ref="S276">GetLatitude(U276)</f>
        <v>31.416151500000002</v>
      </c>
      <c r="T276" cm="1">
        <f t="array" ref="T276">GetLongitude(U276)</f>
        <v>73.069912500000001</v>
      </c>
      <c r="U276" t="str">
        <f t="shared" si="12"/>
        <v>Government College University Faisalabad, Faisalabad, PK</v>
      </c>
      <c r="V276" t="str" cm="1">
        <f t="array" ref="V276">GetCoordinates(U276)</f>
        <v>31.4161515, 73.0699125</v>
      </c>
      <c r="W276" s="13" cm="1">
        <f t="array" ref="W276">TravelTime(A276,U276,AB276)</f>
        <v>9501</v>
      </c>
      <c r="X276" s="13">
        <f t="shared" si="13"/>
        <v>158.35</v>
      </c>
      <c r="Y276" s="13" cm="1">
        <f t="array" ref="Y276">TravelDistance(A276,U276,AB276)</f>
        <v>185734</v>
      </c>
      <c r="Z276" s="13" t="str">
        <f t="shared" si="14"/>
        <v>185.73km</v>
      </c>
      <c r="AA276" s="14" t="s">
        <v>361</v>
      </c>
      <c r="AB276" t="s">
        <v>355</v>
      </c>
    </row>
    <row r="277" spans="1:28" ht="15" x14ac:dyDescent="0.25">
      <c r="A277" s="2" t="s">
        <v>190</v>
      </c>
      <c r="B277" s="6" t="s">
        <v>72</v>
      </c>
      <c r="D277" s="3" t="s">
        <v>28</v>
      </c>
      <c r="E277" s="4" t="s">
        <v>78</v>
      </c>
      <c r="F277" s="4" t="s">
        <v>79</v>
      </c>
      <c r="G277" s="5">
        <v>1</v>
      </c>
      <c r="H277" s="5">
        <v>1</v>
      </c>
      <c r="I277" s="5">
        <v>1</v>
      </c>
      <c r="J277" s="5">
        <v>1</v>
      </c>
      <c r="K277" s="5">
        <v>1</v>
      </c>
      <c r="L277" s="5">
        <v>1</v>
      </c>
      <c r="M277" s="5">
        <v>1</v>
      </c>
      <c r="N277" s="5">
        <v>1</v>
      </c>
      <c r="O277" s="5">
        <v>1</v>
      </c>
      <c r="P277" s="5">
        <v>1</v>
      </c>
      <c r="Q277" s="5">
        <v>1</v>
      </c>
      <c r="R277" s="5">
        <v>1</v>
      </c>
      <c r="S277" cm="1">
        <f t="array" ref="S277">GetLatitude(U277)</f>
        <v>31.419023299999999</v>
      </c>
      <c r="T277" cm="1">
        <f t="array" ref="T277">GetLongitude(U277)</f>
        <v>73.084359899999995</v>
      </c>
      <c r="U277" t="str">
        <f t="shared" si="12"/>
        <v>Gumti Water Fountain, Faisalabad, PK</v>
      </c>
      <c r="V277" t="str" cm="1">
        <f t="array" ref="V277">GetCoordinates(U277)</f>
        <v>31.4190233, 73.0843599</v>
      </c>
      <c r="W277" s="13" cm="1">
        <f t="array" ref="W277">TravelTime(A277,U277,AB277)</f>
        <v>9274</v>
      </c>
      <c r="X277" s="13">
        <f t="shared" si="13"/>
        <v>154.56666666666666</v>
      </c>
      <c r="Y277" s="13" cm="1">
        <f t="array" ref="Y277">TravelDistance(A277,U277,AB277)</f>
        <v>184520</v>
      </c>
      <c r="Z277" s="13" t="str">
        <f t="shared" si="14"/>
        <v>184.52km</v>
      </c>
      <c r="AA277" s="14" t="s">
        <v>361</v>
      </c>
      <c r="AB277" t="s">
        <v>355</v>
      </c>
    </row>
    <row r="278" spans="1:28" ht="15" x14ac:dyDescent="0.25">
      <c r="A278" s="2" t="s">
        <v>190</v>
      </c>
      <c r="B278" s="6" t="s">
        <v>72</v>
      </c>
      <c r="D278" s="3" t="s">
        <v>82</v>
      </c>
      <c r="E278" s="4" t="s">
        <v>55</v>
      </c>
      <c r="F278" s="4" t="s">
        <v>83</v>
      </c>
      <c r="G278" s="5">
        <v>1</v>
      </c>
      <c r="H278" s="5">
        <v>1</v>
      </c>
      <c r="I278" s="5">
        <v>1</v>
      </c>
      <c r="J278" s="5">
        <v>1</v>
      </c>
      <c r="K278" s="5">
        <v>1</v>
      </c>
      <c r="L278" s="5">
        <v>1</v>
      </c>
      <c r="M278" s="5">
        <v>1</v>
      </c>
      <c r="N278" s="5">
        <v>1</v>
      </c>
      <c r="O278" s="5">
        <v>1</v>
      </c>
      <c r="P278" s="5">
        <v>1</v>
      </c>
      <c r="Q278" s="5">
        <v>1</v>
      </c>
      <c r="R278" s="5">
        <v>1</v>
      </c>
      <c r="S278" cm="1">
        <f t="array" ref="S278">GetLatitude(U278)</f>
        <v>31.434367300000002</v>
      </c>
      <c r="T278" cm="1">
        <f t="array" ref="T278">GetLongitude(U278)</f>
        <v>73.087198599999994</v>
      </c>
      <c r="U278" t="str">
        <f t="shared" si="12"/>
        <v>Sindbad Amusement Park, Faisalabad, PK</v>
      </c>
      <c r="V278" t="str" cm="1">
        <f t="array" ref="V278">GetCoordinates(U278)</f>
        <v>31.4343673, 73.0871986</v>
      </c>
      <c r="W278" s="13" cm="1">
        <f t="array" ref="W278">TravelTime(A278,U278,AB278)</f>
        <v>9060</v>
      </c>
      <c r="X278" s="13">
        <f t="shared" si="13"/>
        <v>151</v>
      </c>
      <c r="Y278" s="13" cm="1">
        <f t="array" ref="Y278">TravelDistance(A278,U278,AB278)</f>
        <v>182954</v>
      </c>
      <c r="Z278" s="13" t="str">
        <f t="shared" si="14"/>
        <v>182.95km</v>
      </c>
      <c r="AA278" s="14" t="s">
        <v>361</v>
      </c>
      <c r="AB278" t="s">
        <v>355</v>
      </c>
    </row>
    <row r="279" spans="1:28" ht="15" x14ac:dyDescent="0.25">
      <c r="A279" s="2" t="s">
        <v>190</v>
      </c>
      <c r="B279" s="6" t="s">
        <v>72</v>
      </c>
      <c r="D279" s="3" t="s">
        <v>82</v>
      </c>
      <c r="E279" s="4" t="s">
        <v>86</v>
      </c>
      <c r="F279" s="4" t="s">
        <v>83</v>
      </c>
      <c r="G279" s="5">
        <v>1</v>
      </c>
      <c r="H279" s="5">
        <v>1</v>
      </c>
      <c r="I279" s="5">
        <v>1</v>
      </c>
      <c r="J279" s="5">
        <v>1</v>
      </c>
      <c r="K279" s="5">
        <v>1</v>
      </c>
      <c r="L279" s="5">
        <v>1</v>
      </c>
      <c r="M279" s="5">
        <v>1</v>
      </c>
      <c r="N279" s="5">
        <v>1</v>
      </c>
      <c r="O279" s="5">
        <v>1</v>
      </c>
      <c r="P279" s="5">
        <v>1</v>
      </c>
      <c r="Q279" s="5">
        <v>1</v>
      </c>
      <c r="R279" s="5">
        <v>1</v>
      </c>
      <c r="S279" cm="1">
        <f t="array" ref="S279">GetLatitude(U279)</f>
        <v>31.434367300000002</v>
      </c>
      <c r="T279" cm="1">
        <f t="array" ref="T279">GetLongitude(U279)</f>
        <v>73.087198599999994</v>
      </c>
      <c r="U279" t="str">
        <f t="shared" si="12"/>
        <v>Sindbad Amusement Park, Faisalabad, PK</v>
      </c>
      <c r="V279" t="str" cm="1">
        <f t="array" ref="V279">GetCoordinates(U279)</f>
        <v>31.4343673, 73.0871986</v>
      </c>
      <c r="W279" s="13" cm="1">
        <f t="array" ref="W279">TravelTime(A279,U279,AB279)</f>
        <v>9060</v>
      </c>
      <c r="X279" s="13">
        <f t="shared" si="13"/>
        <v>151</v>
      </c>
      <c r="Y279" s="13" cm="1">
        <f t="array" ref="Y279">TravelDistance(A279,U279,AB279)</f>
        <v>182954</v>
      </c>
      <c r="Z279" s="13" t="str">
        <f t="shared" si="14"/>
        <v>182.95km</v>
      </c>
      <c r="AA279" s="14" t="s">
        <v>361</v>
      </c>
      <c r="AB279" t="s">
        <v>355</v>
      </c>
    </row>
    <row r="280" spans="1:28" ht="15" x14ac:dyDescent="0.25">
      <c r="A280" s="2" t="s">
        <v>190</v>
      </c>
      <c r="B280" s="6" t="s">
        <v>72</v>
      </c>
      <c r="D280" s="3" t="s">
        <v>88</v>
      </c>
      <c r="E280" s="4" t="s">
        <v>89</v>
      </c>
      <c r="F280" s="4" t="s">
        <v>90</v>
      </c>
      <c r="G280" s="5">
        <v>1</v>
      </c>
      <c r="H280" s="5">
        <v>1</v>
      </c>
      <c r="I280" s="5">
        <v>1</v>
      </c>
      <c r="J280" s="5">
        <v>1</v>
      </c>
      <c r="K280" s="5">
        <v>1</v>
      </c>
      <c r="L280" s="5">
        <v>1</v>
      </c>
      <c r="M280" s="5">
        <v>1</v>
      </c>
      <c r="N280" s="5">
        <v>1</v>
      </c>
      <c r="O280" s="5">
        <v>1</v>
      </c>
      <c r="P280" s="5">
        <v>1</v>
      </c>
      <c r="Q280" s="5">
        <v>1</v>
      </c>
      <c r="R280" s="5">
        <v>1</v>
      </c>
      <c r="S280" cm="1">
        <f t="array" ref="S280">GetLatitude(U280)</f>
        <v>31.424616100000001</v>
      </c>
      <c r="T280" cm="1">
        <f t="array" ref="T280">GetLongitude(U280)</f>
        <v>73.1445492</v>
      </c>
      <c r="U280" t="str">
        <f t="shared" si="12"/>
        <v>Jinnah Gardens, Faisalabad, PK</v>
      </c>
      <c r="V280" t="str" cm="1">
        <f t="array" ref="V280">GetCoordinates(U280)</f>
        <v>31.4246161, 73.1445492</v>
      </c>
      <c r="W280" s="13" cm="1">
        <f t="array" ref="W280">TravelTime(A280,U280,AB280)</f>
        <v>9262</v>
      </c>
      <c r="X280" s="13">
        <f t="shared" si="13"/>
        <v>154.36666666666667</v>
      </c>
      <c r="Y280" s="13" cm="1">
        <f t="array" ref="Y280">TravelDistance(A280,U280,AB280)</f>
        <v>184034</v>
      </c>
      <c r="Z280" s="13" t="str">
        <f t="shared" si="14"/>
        <v>184.03km</v>
      </c>
      <c r="AA280" s="14" t="s">
        <v>361</v>
      </c>
      <c r="AB280" t="s">
        <v>355</v>
      </c>
    </row>
    <row r="281" spans="1:28" ht="15" x14ac:dyDescent="0.25">
      <c r="A281" s="2" t="s">
        <v>190</v>
      </c>
      <c r="B281" s="6" t="s">
        <v>72</v>
      </c>
      <c r="D281" s="8" t="s">
        <v>92</v>
      </c>
      <c r="E281" s="4" t="s">
        <v>21</v>
      </c>
      <c r="F281" s="4" t="s">
        <v>93</v>
      </c>
      <c r="G281" s="5">
        <v>1</v>
      </c>
      <c r="H281" s="5">
        <v>1</v>
      </c>
      <c r="I281" s="5">
        <v>1</v>
      </c>
      <c r="J281" s="5">
        <v>1</v>
      </c>
      <c r="K281" s="5">
        <v>1</v>
      </c>
      <c r="L281" s="5">
        <v>1</v>
      </c>
      <c r="M281" s="5">
        <v>1</v>
      </c>
      <c r="N281" s="5">
        <v>1</v>
      </c>
      <c r="O281" s="5">
        <v>1</v>
      </c>
      <c r="P281" s="5">
        <v>1</v>
      </c>
      <c r="Q281" s="5">
        <v>1</v>
      </c>
      <c r="R281" s="5">
        <v>1</v>
      </c>
      <c r="S281" cm="1">
        <f t="array" ref="S281">GetLatitude(U281)</f>
        <v>31.478522099999999</v>
      </c>
      <c r="T281" cm="1">
        <f t="array" ref="T281">GetLongitude(U281)</f>
        <v>73.210183700000002</v>
      </c>
      <c r="U281" t="str">
        <f t="shared" si="12"/>
        <v>Gatwala Wildlife Park, Faisalabad, PK</v>
      </c>
      <c r="V281" t="str" cm="1">
        <f t="array" ref="V281">GetCoordinates(U281)</f>
        <v>31.4785221, 73.2101837</v>
      </c>
      <c r="W281" s="13" cm="1">
        <f t="array" ref="W281">TravelTime(A281,U281,AB281)</f>
        <v>8207</v>
      </c>
      <c r="X281" s="13">
        <f t="shared" si="13"/>
        <v>136.78333333333333</v>
      </c>
      <c r="Y281" s="13" cm="1">
        <f t="array" ref="Y281">TravelDistance(A281,U281,AB281)</f>
        <v>173144</v>
      </c>
      <c r="Z281" s="13" t="str">
        <f t="shared" si="14"/>
        <v>173.14km</v>
      </c>
      <c r="AA281" s="14" t="s">
        <v>361</v>
      </c>
      <c r="AB281" t="s">
        <v>355</v>
      </c>
    </row>
    <row r="282" spans="1:28" ht="15" x14ac:dyDescent="0.25">
      <c r="A282" s="2" t="s">
        <v>190</v>
      </c>
      <c r="B282" s="6" t="s">
        <v>72</v>
      </c>
      <c r="D282" s="3" t="s">
        <v>31</v>
      </c>
      <c r="E282" s="4" t="s">
        <v>95</v>
      </c>
      <c r="F282" s="4" t="s">
        <v>96</v>
      </c>
      <c r="G282" s="5">
        <v>1</v>
      </c>
      <c r="H282" s="5">
        <v>1</v>
      </c>
      <c r="I282" s="5">
        <v>1</v>
      </c>
      <c r="J282" s="5">
        <v>1</v>
      </c>
      <c r="K282" s="5">
        <v>1</v>
      </c>
      <c r="L282" s="5">
        <v>1</v>
      </c>
      <c r="M282" s="5">
        <v>1</v>
      </c>
      <c r="N282" s="5">
        <v>1</v>
      </c>
      <c r="O282" s="5">
        <v>1</v>
      </c>
      <c r="P282" s="5">
        <v>1</v>
      </c>
      <c r="Q282" s="5">
        <v>1</v>
      </c>
      <c r="R282" s="5">
        <v>1</v>
      </c>
      <c r="S282" cm="1">
        <f t="array" ref="S282">GetLatitude(U282)</f>
        <v>31.412576300000001</v>
      </c>
      <c r="T282" cm="1">
        <f t="array" ref="T282">GetLongitude(U282)</f>
        <v>73.114884700000005</v>
      </c>
      <c r="U282" t="str">
        <f t="shared" si="12"/>
        <v>Kohinoor One, Faisalabad, PK</v>
      </c>
      <c r="V282" t="str" cm="1">
        <f t="array" ref="V282">GetCoordinates(U282)</f>
        <v>31.4125763, 73.1148847</v>
      </c>
      <c r="W282" s="13" cm="1">
        <f t="array" ref="W282">TravelTime(A282,U282,AB282)</f>
        <v>9210</v>
      </c>
      <c r="X282" s="13">
        <f t="shared" si="13"/>
        <v>153.5</v>
      </c>
      <c r="Y282" s="13" cm="1">
        <f t="array" ref="Y282">TravelDistance(A282,U282,AB282)</f>
        <v>145959</v>
      </c>
      <c r="Z282" s="13" t="str">
        <f t="shared" si="14"/>
        <v>145.96km</v>
      </c>
      <c r="AA282" s="14" t="s">
        <v>361</v>
      </c>
      <c r="AB282" t="s">
        <v>355</v>
      </c>
    </row>
    <row r="283" spans="1:28" ht="15" x14ac:dyDescent="0.25">
      <c r="A283" s="2" t="s">
        <v>190</v>
      </c>
      <c r="B283" s="6" t="s">
        <v>72</v>
      </c>
      <c r="D283" s="3" t="s">
        <v>31</v>
      </c>
      <c r="E283" s="4" t="s">
        <v>55</v>
      </c>
      <c r="F283" s="4" t="s">
        <v>98</v>
      </c>
      <c r="G283" s="5">
        <v>1</v>
      </c>
      <c r="H283" s="5">
        <v>1</v>
      </c>
      <c r="I283" s="5">
        <v>1</v>
      </c>
      <c r="J283" s="5">
        <v>1</v>
      </c>
      <c r="K283" s="5">
        <v>1</v>
      </c>
      <c r="L283" s="5">
        <v>1</v>
      </c>
      <c r="M283" s="5">
        <v>1</v>
      </c>
      <c r="N283" s="5">
        <v>1</v>
      </c>
      <c r="O283" s="5">
        <v>1</v>
      </c>
      <c r="P283" s="5">
        <v>1</v>
      </c>
      <c r="Q283" s="5">
        <v>1</v>
      </c>
      <c r="R283" s="5">
        <v>1</v>
      </c>
      <c r="S283" cm="1">
        <f t="array" ref="S283">GetLatitude(U283)</f>
        <v>31.450366200000001</v>
      </c>
      <c r="T283" cm="1">
        <f t="array" ref="T283">GetLongitude(U283)</f>
        <v>73.134960500000005</v>
      </c>
      <c r="U283" t="str">
        <f t="shared" si="12"/>
        <v>Abdulrehman resort, Faisalabad, PK</v>
      </c>
      <c r="V283" t="str" cm="1">
        <f t="array" ref="V283">GetCoordinates(U283)</f>
        <v>31.4503662, 73.1349605</v>
      </c>
      <c r="W283" s="13" cm="1">
        <f t="array" ref="W283">TravelTime(A283,U283,AB283)</f>
        <v>9206</v>
      </c>
      <c r="X283" s="13">
        <f t="shared" si="13"/>
        <v>153.43333333333334</v>
      </c>
      <c r="Y283" s="13" cm="1">
        <f t="array" ref="Y283">TravelDistance(A283,U283,AB283)</f>
        <v>183475</v>
      </c>
      <c r="Z283" s="13" t="str">
        <f t="shared" si="14"/>
        <v>183.48km</v>
      </c>
      <c r="AA283" s="14" t="s">
        <v>361</v>
      </c>
      <c r="AB283" t="s">
        <v>355</v>
      </c>
    </row>
    <row r="284" spans="1:28" ht="15" x14ac:dyDescent="0.25">
      <c r="A284" s="2" t="s">
        <v>190</v>
      </c>
      <c r="B284" s="6" t="s">
        <v>72</v>
      </c>
      <c r="D284" s="3" t="s">
        <v>31</v>
      </c>
      <c r="E284" s="4" t="s">
        <v>21</v>
      </c>
      <c r="F284" s="4" t="s">
        <v>90</v>
      </c>
      <c r="G284" s="5">
        <v>1</v>
      </c>
      <c r="H284" s="5">
        <v>1</v>
      </c>
      <c r="I284" s="5">
        <v>1</v>
      </c>
      <c r="J284" s="5">
        <v>1</v>
      </c>
      <c r="K284" s="5">
        <v>1</v>
      </c>
      <c r="L284" s="5">
        <v>1</v>
      </c>
      <c r="M284" s="5">
        <v>1</v>
      </c>
      <c r="N284" s="5">
        <v>1</v>
      </c>
      <c r="O284" s="5">
        <v>1</v>
      </c>
      <c r="P284" s="5">
        <v>1</v>
      </c>
      <c r="Q284" s="5">
        <v>1</v>
      </c>
      <c r="R284" s="5">
        <v>1</v>
      </c>
      <c r="S284" cm="1">
        <f t="array" ref="S284">GetLatitude(U284)</f>
        <v>31.424616100000001</v>
      </c>
      <c r="T284" cm="1">
        <f t="array" ref="T284">GetLongitude(U284)</f>
        <v>73.1445492</v>
      </c>
      <c r="U284" t="str">
        <f t="shared" si="12"/>
        <v>Jinnah Gardens, Faisalabad, PK</v>
      </c>
      <c r="V284" t="str" cm="1">
        <f t="array" ref="V284">GetCoordinates(U284)</f>
        <v>31.4246161, 73.1445492</v>
      </c>
      <c r="W284" s="13" cm="1">
        <f t="array" ref="W284">TravelTime(A284,U284,AB284)</f>
        <v>9262</v>
      </c>
      <c r="X284" s="13">
        <f t="shared" si="13"/>
        <v>154.36666666666667</v>
      </c>
      <c r="Y284" s="13" cm="1">
        <f t="array" ref="Y284">TravelDistance(A284,U284,AB284)</f>
        <v>184034</v>
      </c>
      <c r="Z284" s="13" t="str">
        <f t="shared" si="14"/>
        <v>184.03km</v>
      </c>
      <c r="AA284" s="14" t="s">
        <v>361</v>
      </c>
      <c r="AB284" t="s">
        <v>355</v>
      </c>
    </row>
    <row r="285" spans="1:28" ht="15" x14ac:dyDescent="0.25">
      <c r="A285" s="2" t="s">
        <v>190</v>
      </c>
      <c r="B285" s="6" t="s">
        <v>72</v>
      </c>
      <c r="D285" s="3" t="s">
        <v>31</v>
      </c>
      <c r="E285" s="4" t="s">
        <v>95</v>
      </c>
      <c r="F285" s="4" t="s">
        <v>100</v>
      </c>
      <c r="G285" s="5">
        <v>1</v>
      </c>
      <c r="H285" s="5">
        <v>1</v>
      </c>
      <c r="I285" s="5">
        <v>1</v>
      </c>
      <c r="J285" s="5">
        <v>1</v>
      </c>
      <c r="K285" s="5">
        <v>1</v>
      </c>
      <c r="L285" s="5">
        <v>1</v>
      </c>
      <c r="M285" s="5">
        <v>1</v>
      </c>
      <c r="N285" s="5">
        <v>1</v>
      </c>
      <c r="O285" s="5">
        <v>1</v>
      </c>
      <c r="P285" s="5">
        <v>1</v>
      </c>
      <c r="Q285" s="5">
        <v>1</v>
      </c>
      <c r="R285" s="5">
        <v>1</v>
      </c>
      <c r="S285" cm="1">
        <f t="array" ref="S285">GetLatitude(U285)</f>
        <v>31.403548399999998</v>
      </c>
      <c r="T285" cm="1">
        <f t="array" ref="T285">GetLongitude(U285)</f>
        <v>73.1064334</v>
      </c>
      <c r="U285" t="str">
        <f t="shared" si="12"/>
        <v>Sitara Mall, Faisalabad, PK</v>
      </c>
      <c r="V285" t="str" cm="1">
        <f t="array" ref="V285">GetCoordinates(U285)</f>
        <v>31.4035484, 73.1064334</v>
      </c>
      <c r="W285" s="13" cm="1">
        <f t="array" ref="W285">TravelTime(A285,U285,AB285)</f>
        <v>9306</v>
      </c>
      <c r="X285" s="13">
        <f t="shared" si="13"/>
        <v>155.1</v>
      </c>
      <c r="Y285" s="13" cm="1">
        <f t="array" ref="Y285">TravelDistance(A285,U285,AB285)</f>
        <v>146762</v>
      </c>
      <c r="Z285" s="13" t="str">
        <f t="shared" si="14"/>
        <v>146.76km</v>
      </c>
      <c r="AA285" s="14" t="s">
        <v>361</v>
      </c>
      <c r="AB285" t="s">
        <v>355</v>
      </c>
    </row>
    <row r="286" spans="1:28" ht="15" x14ac:dyDescent="0.25">
      <c r="A286" s="2" t="s">
        <v>190</v>
      </c>
      <c r="B286" s="6" t="s">
        <v>72</v>
      </c>
      <c r="D286" s="3" t="s">
        <v>28</v>
      </c>
      <c r="E286" s="4" t="s">
        <v>78</v>
      </c>
      <c r="F286" s="4" t="s">
        <v>101</v>
      </c>
      <c r="G286" s="5">
        <v>1</v>
      </c>
      <c r="H286" s="5">
        <v>1</v>
      </c>
      <c r="I286" s="5">
        <v>1</v>
      </c>
      <c r="J286" s="5">
        <v>1</v>
      </c>
      <c r="K286" s="5">
        <v>1</v>
      </c>
      <c r="L286" s="5">
        <v>1</v>
      </c>
      <c r="M286" s="5">
        <v>1</v>
      </c>
      <c r="N286" s="5">
        <v>1</v>
      </c>
      <c r="O286" s="5">
        <v>1</v>
      </c>
      <c r="P286" s="5">
        <v>1</v>
      </c>
      <c r="Q286" s="5">
        <v>1</v>
      </c>
      <c r="R286" s="5">
        <v>1</v>
      </c>
      <c r="S286" cm="1">
        <f t="array" ref="S286">GetLatitude(U286)</f>
        <v>31.425472599999999</v>
      </c>
      <c r="T286" cm="1">
        <f t="array" ref="T286">GetLongitude(U286)</f>
        <v>73.087470499999995</v>
      </c>
      <c r="U286" t="str">
        <f t="shared" si="12"/>
        <v>Sir Charles James Lyall Monument, Faisalabad, PK</v>
      </c>
      <c r="V286" t="str" cm="1">
        <f t="array" ref="V286">GetCoordinates(U286)</f>
        <v>31.4254726, 73.0874705</v>
      </c>
      <c r="W286" s="13" cm="1">
        <f t="array" ref="W286">TravelTime(A286,U286,AB286)</f>
        <v>9275</v>
      </c>
      <c r="X286" s="13">
        <f t="shared" si="13"/>
        <v>154.58333333333334</v>
      </c>
      <c r="Y286" s="13" cm="1">
        <f t="array" ref="Y286">TravelDistance(A286,U286,AB286)</f>
        <v>184191</v>
      </c>
      <c r="Z286" s="13" t="str">
        <f t="shared" si="14"/>
        <v>184.19km</v>
      </c>
      <c r="AA286" s="14" t="s">
        <v>361</v>
      </c>
      <c r="AB286" t="s">
        <v>355</v>
      </c>
    </row>
    <row r="287" spans="1:28" ht="15" x14ac:dyDescent="0.25">
      <c r="A287" s="2" t="s">
        <v>190</v>
      </c>
      <c r="B287" s="6" t="s">
        <v>72</v>
      </c>
      <c r="D287" s="3" t="s">
        <v>82</v>
      </c>
      <c r="E287" s="4" t="s">
        <v>55</v>
      </c>
      <c r="F287" s="4" t="s">
        <v>102</v>
      </c>
      <c r="G287" s="5">
        <v>1</v>
      </c>
      <c r="H287" s="5">
        <v>1</v>
      </c>
      <c r="I287" s="5">
        <v>1</v>
      </c>
      <c r="J287" s="5">
        <v>1</v>
      </c>
      <c r="K287" s="5">
        <v>1</v>
      </c>
      <c r="L287" s="5">
        <v>1</v>
      </c>
      <c r="M287" s="5">
        <v>1</v>
      </c>
      <c r="N287" s="5">
        <v>1</v>
      </c>
      <c r="O287" s="5">
        <v>1</v>
      </c>
      <c r="P287" s="5">
        <v>1</v>
      </c>
      <c r="Q287" s="5">
        <v>1</v>
      </c>
      <c r="R287" s="5">
        <v>1</v>
      </c>
      <c r="S287" cm="1">
        <f t="array" ref="S287">GetLatitude(U287)</f>
        <v>31.439809</v>
      </c>
      <c r="T287" cm="1">
        <f t="array" ref="T287">GetLongitude(U287)</f>
        <v>73.132282500000002</v>
      </c>
      <c r="U287" t="str">
        <f t="shared" si="12"/>
        <v>Aqua Land Water Park Majorca, Faisalabad, PK</v>
      </c>
      <c r="V287" t="str" cm="1">
        <f t="array" ref="V287">GetCoordinates(U287)</f>
        <v>31.4398090, 73.1322825</v>
      </c>
      <c r="W287" s="13" cm="1">
        <f t="array" ref="W287">TravelTime(A287,U287,AB287)</f>
        <v>8868</v>
      </c>
      <c r="X287" s="13">
        <f t="shared" si="13"/>
        <v>147.80000000000001</v>
      </c>
      <c r="Y287" s="13" cm="1">
        <f t="array" ref="Y287">TravelDistance(A287,U287,AB287)</f>
        <v>181666</v>
      </c>
      <c r="Z287" s="13" t="str">
        <f t="shared" si="14"/>
        <v>181.67km</v>
      </c>
      <c r="AA287" s="14" t="s">
        <v>361</v>
      </c>
      <c r="AB287" t="s">
        <v>355</v>
      </c>
    </row>
    <row r="288" spans="1:28" ht="15" x14ac:dyDescent="0.25">
      <c r="A288" s="2" t="s">
        <v>190</v>
      </c>
      <c r="B288" s="6" t="s">
        <v>72</v>
      </c>
      <c r="D288" s="3" t="s">
        <v>28</v>
      </c>
      <c r="E288" s="4" t="s">
        <v>103</v>
      </c>
      <c r="F288" s="4" t="s">
        <v>104</v>
      </c>
      <c r="G288" s="5">
        <v>1</v>
      </c>
      <c r="H288" s="5">
        <v>1</v>
      </c>
      <c r="I288" s="5">
        <v>1</v>
      </c>
      <c r="J288" s="5">
        <v>1</v>
      </c>
      <c r="K288" s="5">
        <v>1</v>
      </c>
      <c r="L288" s="5">
        <v>1</v>
      </c>
      <c r="M288" s="5">
        <v>1</v>
      </c>
      <c r="N288" s="5">
        <v>1</v>
      </c>
      <c r="O288" s="5">
        <v>1</v>
      </c>
      <c r="P288" s="5">
        <v>1</v>
      </c>
      <c r="Q288" s="5">
        <v>1</v>
      </c>
      <c r="R288" s="5">
        <v>1</v>
      </c>
      <c r="S288" cm="1">
        <f t="array" ref="S288">GetLatitude(U288)</f>
        <v>31.421836299999999</v>
      </c>
      <c r="T288" cm="1">
        <f t="array" ref="T288">GetLongitude(U288)</f>
        <v>73.083663099999995</v>
      </c>
      <c r="U288" t="str">
        <f t="shared" si="12"/>
        <v>Lyallpur Museum, Faisalabad, PK</v>
      </c>
      <c r="V288" t="str" cm="1">
        <f t="array" ref="V288">GetCoordinates(U288)</f>
        <v>31.4218363, 73.0836631</v>
      </c>
      <c r="W288" s="13" cm="1">
        <f t="array" ref="W288">TravelTime(A288,U288,AB288)</f>
        <v>9277</v>
      </c>
      <c r="X288" s="13">
        <f t="shared" si="13"/>
        <v>154.61666666666667</v>
      </c>
      <c r="Y288" s="13" cm="1">
        <f t="array" ref="Y288">TravelDistance(A288,U288,AB288)</f>
        <v>184588</v>
      </c>
      <c r="Z288" s="13" t="str">
        <f t="shared" si="14"/>
        <v>184.59km</v>
      </c>
      <c r="AA288" s="14" t="s">
        <v>361</v>
      </c>
      <c r="AB288" t="s">
        <v>355</v>
      </c>
    </row>
    <row r="289" spans="1:28" ht="15" x14ac:dyDescent="0.25">
      <c r="A289" s="2" t="s">
        <v>190</v>
      </c>
      <c r="B289" s="6" t="s">
        <v>72</v>
      </c>
      <c r="D289" s="3" t="s">
        <v>31</v>
      </c>
      <c r="E289" s="4" t="s">
        <v>21</v>
      </c>
      <c r="F289" s="4" t="s">
        <v>105</v>
      </c>
      <c r="G289" s="5">
        <v>1</v>
      </c>
      <c r="H289" s="5">
        <v>1</v>
      </c>
      <c r="I289" s="5">
        <v>1</v>
      </c>
      <c r="J289" s="5">
        <v>1</v>
      </c>
      <c r="K289" s="5">
        <v>1</v>
      </c>
      <c r="L289" s="5">
        <v>1</v>
      </c>
      <c r="M289" s="5">
        <v>1</v>
      </c>
      <c r="N289" s="5">
        <v>1</v>
      </c>
      <c r="O289" s="5">
        <v>1</v>
      </c>
      <c r="P289" s="5">
        <v>1</v>
      </c>
      <c r="Q289" s="5">
        <v>1</v>
      </c>
      <c r="R289" s="5">
        <v>1</v>
      </c>
      <c r="S289" cm="1">
        <f t="array" ref="S289">GetLatitude(U289)</f>
        <v>31.406549900000002</v>
      </c>
      <c r="T289" cm="1">
        <f t="array" ref="T289">GetLongitude(U289)</f>
        <v>73.110446300000007</v>
      </c>
      <c r="U289" t="str">
        <f t="shared" si="12"/>
        <v>D Ground Park, Faisalabad, PK</v>
      </c>
      <c r="V289" t="str" cm="1">
        <f t="array" ref="V289">GetCoordinates(U289)</f>
        <v>31.4065499, 73.1104463</v>
      </c>
      <c r="W289" s="13" cm="1">
        <f t="array" ref="W289">TravelTime(A289,U289,AB289)</f>
        <v>9218</v>
      </c>
      <c r="X289" s="13">
        <f t="shared" si="13"/>
        <v>153.63333333333333</v>
      </c>
      <c r="Y289" s="13" cm="1">
        <f t="array" ref="Y289">TravelDistance(A289,U289,AB289)</f>
        <v>146230</v>
      </c>
      <c r="Z289" s="13" t="str">
        <f t="shared" si="14"/>
        <v>146.23km</v>
      </c>
      <c r="AA289" s="14" t="s">
        <v>361</v>
      </c>
      <c r="AB289" t="s">
        <v>355</v>
      </c>
    </row>
    <row r="290" spans="1:28" ht="15" x14ac:dyDescent="0.25">
      <c r="A290" s="2" t="s">
        <v>190</v>
      </c>
      <c r="B290" s="6" t="s">
        <v>72</v>
      </c>
      <c r="D290" s="3" t="s">
        <v>28</v>
      </c>
      <c r="E290" s="4" t="s">
        <v>106</v>
      </c>
      <c r="F290" s="4" t="s">
        <v>107</v>
      </c>
      <c r="G290" s="5">
        <v>1</v>
      </c>
      <c r="H290" s="5">
        <v>1</v>
      </c>
      <c r="I290" s="5">
        <v>1</v>
      </c>
      <c r="J290" s="5">
        <v>1</v>
      </c>
      <c r="K290" s="5">
        <v>1</v>
      </c>
      <c r="L290" s="5">
        <v>1</v>
      </c>
      <c r="M290" s="5">
        <v>1</v>
      </c>
      <c r="N290" s="5">
        <v>1</v>
      </c>
      <c r="O290" s="5">
        <v>1</v>
      </c>
      <c r="P290" s="5">
        <v>1</v>
      </c>
      <c r="Q290" s="5">
        <v>1</v>
      </c>
      <c r="R290" s="5">
        <v>1</v>
      </c>
      <c r="S290" cm="1">
        <f t="array" ref="S290">GetLatitude(U290)</f>
        <v>31.419415399999998</v>
      </c>
      <c r="T290" cm="1">
        <f t="array" ref="T290">GetLongitude(U290)</f>
        <v>73.080371299999996</v>
      </c>
      <c r="U290" t="str">
        <f t="shared" si="12"/>
        <v>Clock Tower, Faisalabad, PK</v>
      </c>
      <c r="V290" t="str" cm="1">
        <f t="array" ref="V290">GetCoordinates(U290)</f>
        <v>31.4194154, 73.0803713</v>
      </c>
      <c r="W290" s="13" cm="1">
        <f t="array" ref="W290">TravelTime(A290,U290,AB290)</f>
        <v>9349</v>
      </c>
      <c r="X290" s="13">
        <f t="shared" si="13"/>
        <v>155.81666666666666</v>
      </c>
      <c r="Y290" s="13" cm="1">
        <f t="array" ref="Y290">TravelDistance(A290,U290,AB290)</f>
        <v>184494</v>
      </c>
      <c r="Z290" s="13" t="str">
        <f t="shared" si="14"/>
        <v>184.49km</v>
      </c>
      <c r="AA290" s="14" t="s">
        <v>361</v>
      </c>
      <c r="AB290" t="s">
        <v>355</v>
      </c>
    </row>
    <row r="291" spans="1:28" ht="15" x14ac:dyDescent="0.25">
      <c r="A291" s="2" t="s">
        <v>190</v>
      </c>
      <c r="B291" s="6" t="s">
        <v>72</v>
      </c>
      <c r="D291" s="3" t="s">
        <v>31</v>
      </c>
      <c r="E291" s="4" t="s">
        <v>21</v>
      </c>
      <c r="F291" s="4" t="s">
        <v>108</v>
      </c>
      <c r="G291" s="5">
        <v>1</v>
      </c>
      <c r="H291" s="5">
        <v>1</v>
      </c>
      <c r="I291" s="5">
        <v>1</v>
      </c>
      <c r="J291" s="5">
        <v>1</v>
      </c>
      <c r="K291" s="5">
        <v>1</v>
      </c>
      <c r="L291" s="5">
        <v>1</v>
      </c>
      <c r="M291" s="5">
        <v>1</v>
      </c>
      <c r="N291" s="5">
        <v>1</v>
      </c>
      <c r="O291" s="5">
        <v>1</v>
      </c>
      <c r="P291" s="5">
        <v>1</v>
      </c>
      <c r="Q291" s="5">
        <v>1</v>
      </c>
      <c r="R291" s="5">
        <v>1</v>
      </c>
      <c r="S291" cm="1">
        <f t="array" ref="S291">GetLatitude(U291)</f>
        <v>31.396359</v>
      </c>
      <c r="T291" cm="1">
        <f t="array" ref="T291">GetLongitude(U291)</f>
        <v>73.096772000000001</v>
      </c>
      <c r="U291" t="str">
        <f t="shared" si="12"/>
        <v>Pahari Grounds, Faisalabad, PK</v>
      </c>
      <c r="V291" t="str" cm="1">
        <f t="array" ref="V291">GetCoordinates(U291)</f>
        <v>31.3963590, 73.0967720</v>
      </c>
      <c r="W291" s="13" cm="1">
        <f t="array" ref="W291">TravelTime(A291,U291,AB291)</f>
        <v>9592</v>
      </c>
      <c r="X291" s="13">
        <f t="shared" si="13"/>
        <v>159.86666666666667</v>
      </c>
      <c r="Y291" s="13" cm="1">
        <f t="array" ref="Y291">TravelDistance(A291,U291,AB291)</f>
        <v>148210</v>
      </c>
      <c r="Z291" s="13" t="str">
        <f t="shared" si="14"/>
        <v>148.21km</v>
      </c>
      <c r="AA291" s="14" t="s">
        <v>361</v>
      </c>
      <c r="AB291" t="s">
        <v>355</v>
      </c>
    </row>
    <row r="292" spans="1:28" ht="15" x14ac:dyDescent="0.25">
      <c r="A292" s="2" t="s">
        <v>190</v>
      </c>
      <c r="B292" s="6" t="s">
        <v>72</v>
      </c>
      <c r="D292" s="3" t="s">
        <v>28</v>
      </c>
      <c r="E292" s="4" t="s">
        <v>29</v>
      </c>
      <c r="F292" s="4" t="s">
        <v>73</v>
      </c>
      <c r="G292" s="5">
        <v>1</v>
      </c>
      <c r="H292" s="5">
        <v>1</v>
      </c>
      <c r="I292" s="5">
        <v>1</v>
      </c>
      <c r="J292" s="5">
        <v>1</v>
      </c>
      <c r="K292" s="5">
        <v>1</v>
      </c>
      <c r="L292" s="5">
        <v>1</v>
      </c>
      <c r="M292" s="5">
        <v>1</v>
      </c>
      <c r="N292" s="5">
        <v>1</v>
      </c>
      <c r="O292" s="5">
        <v>1</v>
      </c>
      <c r="P292" s="5">
        <v>1</v>
      </c>
      <c r="Q292" s="5">
        <v>1</v>
      </c>
      <c r="R292" s="5">
        <v>1</v>
      </c>
      <c r="S292" cm="1">
        <f t="array" ref="S292">GetLatitude(U292)</f>
        <v>31.485161399999999</v>
      </c>
      <c r="T292" cm="1">
        <f t="array" ref="T292">GetLongitude(U292)</f>
        <v>73.072579899999994</v>
      </c>
      <c r="U292" t="str">
        <f t="shared" si="12"/>
        <v>University of Agriculture, Faisalabad, PK</v>
      </c>
      <c r="V292" t="str" cm="1">
        <f t="array" ref="V292">GetCoordinates(U292)</f>
        <v>31.4851614, 73.0725799</v>
      </c>
      <c r="W292" s="13" cm="1">
        <f t="array" ref="W292">TravelTime(A292,U292,AB292)</f>
        <v>8335</v>
      </c>
      <c r="X292" s="13">
        <f t="shared" si="13"/>
        <v>138.91666666666666</v>
      </c>
      <c r="Y292" s="13" cm="1">
        <f t="array" ref="Y292">TravelDistance(A292,U292,AB292)</f>
        <v>176790</v>
      </c>
      <c r="Z292" s="13" t="str">
        <f t="shared" si="14"/>
        <v>176.79km</v>
      </c>
      <c r="AA292" s="14" t="s">
        <v>361</v>
      </c>
      <c r="AB292" t="s">
        <v>355</v>
      </c>
    </row>
    <row r="293" spans="1:28" ht="15" x14ac:dyDescent="0.25">
      <c r="A293" s="2" t="s">
        <v>190</v>
      </c>
      <c r="B293" s="6" t="s">
        <v>72</v>
      </c>
      <c r="D293" s="3" t="s">
        <v>28</v>
      </c>
      <c r="E293" s="4" t="s">
        <v>29</v>
      </c>
      <c r="F293" s="4" t="s">
        <v>75</v>
      </c>
      <c r="G293" s="5">
        <v>1</v>
      </c>
      <c r="H293" s="5">
        <v>1</v>
      </c>
      <c r="I293" s="5">
        <v>1</v>
      </c>
      <c r="J293" s="5">
        <v>1</v>
      </c>
      <c r="K293" s="5">
        <v>1</v>
      </c>
      <c r="L293" s="5">
        <v>1</v>
      </c>
      <c r="M293" s="5">
        <v>1</v>
      </c>
      <c r="N293" s="5">
        <v>1</v>
      </c>
      <c r="O293" s="5">
        <v>1</v>
      </c>
      <c r="P293" s="5">
        <v>1</v>
      </c>
      <c r="Q293" s="5">
        <v>1</v>
      </c>
      <c r="R293" s="5">
        <v>1</v>
      </c>
      <c r="S293" cm="1">
        <f t="array" ref="S293">GetLatitude(U293)</f>
        <v>31.416151500000002</v>
      </c>
      <c r="T293" cm="1">
        <f t="array" ref="T293">GetLongitude(U293)</f>
        <v>73.069912500000001</v>
      </c>
      <c r="U293" t="str">
        <f t="shared" si="12"/>
        <v>Government College University Faisalabad, Faisalabad, PK</v>
      </c>
      <c r="V293" t="str" cm="1">
        <f t="array" ref="V293">GetCoordinates(U293)</f>
        <v>31.4161515, 73.0699125</v>
      </c>
      <c r="W293" s="13" cm="1">
        <f t="array" ref="W293">TravelTime(A293,U293,AB293)</f>
        <v>9501</v>
      </c>
      <c r="X293" s="13">
        <f t="shared" si="13"/>
        <v>158.35</v>
      </c>
      <c r="Y293" s="13" cm="1">
        <f t="array" ref="Y293">TravelDistance(A293,U293,AB293)</f>
        <v>185734</v>
      </c>
      <c r="Z293" s="13" t="str">
        <f t="shared" si="14"/>
        <v>185.73km</v>
      </c>
      <c r="AA293" s="14" t="s">
        <v>361</v>
      </c>
      <c r="AB293" t="s">
        <v>355</v>
      </c>
    </row>
    <row r="294" spans="1:28" ht="15" x14ac:dyDescent="0.25">
      <c r="A294" s="2" t="s">
        <v>190</v>
      </c>
      <c r="B294" s="6" t="s">
        <v>72</v>
      </c>
      <c r="D294" s="3" t="s">
        <v>28</v>
      </c>
      <c r="E294" s="4" t="s">
        <v>78</v>
      </c>
      <c r="F294" s="4" t="s">
        <v>79</v>
      </c>
      <c r="G294" s="5">
        <v>1</v>
      </c>
      <c r="H294" s="5">
        <v>1</v>
      </c>
      <c r="I294" s="5">
        <v>1</v>
      </c>
      <c r="J294" s="5">
        <v>1</v>
      </c>
      <c r="K294" s="5">
        <v>1</v>
      </c>
      <c r="L294" s="5">
        <v>1</v>
      </c>
      <c r="M294" s="5">
        <v>1</v>
      </c>
      <c r="N294" s="5">
        <v>1</v>
      </c>
      <c r="O294" s="5">
        <v>1</v>
      </c>
      <c r="P294" s="5">
        <v>1</v>
      </c>
      <c r="Q294" s="5">
        <v>1</v>
      </c>
      <c r="R294" s="5">
        <v>1</v>
      </c>
      <c r="S294" cm="1">
        <f t="array" ref="S294">GetLatitude(U294)</f>
        <v>31.419023299999999</v>
      </c>
      <c r="T294" cm="1">
        <f t="array" ref="T294">GetLongitude(U294)</f>
        <v>73.084359899999995</v>
      </c>
      <c r="U294" t="str">
        <f t="shared" si="12"/>
        <v>Gumti Water Fountain, Faisalabad, PK</v>
      </c>
      <c r="V294" t="str" cm="1">
        <f t="array" ref="V294">GetCoordinates(U294)</f>
        <v>31.4190233, 73.0843599</v>
      </c>
      <c r="W294" s="13" cm="1">
        <f t="array" ref="W294">TravelTime(A294,U294,AB294)</f>
        <v>9274</v>
      </c>
      <c r="X294" s="13">
        <f t="shared" si="13"/>
        <v>154.56666666666666</v>
      </c>
      <c r="Y294" s="13" cm="1">
        <f t="array" ref="Y294">TravelDistance(A294,U294,AB294)</f>
        <v>184520</v>
      </c>
      <c r="Z294" s="13" t="str">
        <f t="shared" si="14"/>
        <v>184.52km</v>
      </c>
      <c r="AA294" s="14" t="s">
        <v>361</v>
      </c>
      <c r="AB294" t="s">
        <v>355</v>
      </c>
    </row>
    <row r="295" spans="1:28" ht="15" x14ac:dyDescent="0.25">
      <c r="A295" s="2" t="s">
        <v>190</v>
      </c>
      <c r="B295" s="6" t="s">
        <v>72</v>
      </c>
      <c r="D295" s="3" t="s">
        <v>82</v>
      </c>
      <c r="E295" s="4" t="s">
        <v>55</v>
      </c>
      <c r="F295" s="4" t="s">
        <v>83</v>
      </c>
      <c r="G295" s="5">
        <v>1</v>
      </c>
      <c r="H295" s="5">
        <v>1</v>
      </c>
      <c r="I295" s="5">
        <v>1</v>
      </c>
      <c r="J295" s="5">
        <v>1</v>
      </c>
      <c r="K295" s="5">
        <v>1</v>
      </c>
      <c r="L295" s="5">
        <v>1</v>
      </c>
      <c r="M295" s="5">
        <v>1</v>
      </c>
      <c r="N295" s="5">
        <v>1</v>
      </c>
      <c r="O295" s="5">
        <v>1</v>
      </c>
      <c r="P295" s="5">
        <v>1</v>
      </c>
      <c r="Q295" s="5">
        <v>1</v>
      </c>
      <c r="R295" s="5">
        <v>1</v>
      </c>
      <c r="S295" cm="1">
        <f t="array" ref="S295">GetLatitude(U295)</f>
        <v>31.434367300000002</v>
      </c>
      <c r="T295" cm="1">
        <f t="array" ref="T295">GetLongitude(U295)</f>
        <v>73.087198599999994</v>
      </c>
      <c r="U295" t="str">
        <f t="shared" si="12"/>
        <v>Sindbad Amusement Park, Faisalabad, PK</v>
      </c>
      <c r="V295" t="str" cm="1">
        <f t="array" ref="V295">GetCoordinates(U295)</f>
        <v>31.4343673, 73.0871986</v>
      </c>
      <c r="W295" s="13" cm="1">
        <f t="array" ref="W295">TravelTime(A295,U295,AB295)</f>
        <v>9060</v>
      </c>
      <c r="X295" s="13">
        <f t="shared" si="13"/>
        <v>151</v>
      </c>
      <c r="Y295" s="13" cm="1">
        <f t="array" ref="Y295">TravelDistance(A295,U295,AB295)</f>
        <v>182954</v>
      </c>
      <c r="Z295" s="13" t="str">
        <f t="shared" si="14"/>
        <v>182.95km</v>
      </c>
      <c r="AA295" s="14" t="s">
        <v>361</v>
      </c>
      <c r="AB295" t="s">
        <v>355</v>
      </c>
    </row>
    <row r="296" spans="1:28" ht="15" x14ac:dyDescent="0.25">
      <c r="A296" s="2" t="s">
        <v>190</v>
      </c>
      <c r="B296" s="6" t="s">
        <v>72</v>
      </c>
      <c r="D296" s="3" t="s">
        <v>82</v>
      </c>
      <c r="E296" s="4" t="s">
        <v>86</v>
      </c>
      <c r="F296" s="4" t="s">
        <v>83</v>
      </c>
      <c r="G296" s="5">
        <v>1</v>
      </c>
      <c r="H296" s="5">
        <v>1</v>
      </c>
      <c r="I296" s="5">
        <v>1</v>
      </c>
      <c r="J296" s="5">
        <v>1</v>
      </c>
      <c r="K296" s="5">
        <v>1</v>
      </c>
      <c r="L296" s="5">
        <v>1</v>
      </c>
      <c r="M296" s="5">
        <v>1</v>
      </c>
      <c r="N296" s="5">
        <v>1</v>
      </c>
      <c r="O296" s="5">
        <v>1</v>
      </c>
      <c r="P296" s="5">
        <v>1</v>
      </c>
      <c r="Q296" s="5">
        <v>1</v>
      </c>
      <c r="R296" s="5">
        <v>1</v>
      </c>
      <c r="S296" cm="1">
        <f t="array" ref="S296">GetLatitude(U296)</f>
        <v>31.434367300000002</v>
      </c>
      <c r="T296" cm="1">
        <f t="array" ref="T296">GetLongitude(U296)</f>
        <v>73.087198599999994</v>
      </c>
      <c r="U296" t="str">
        <f t="shared" si="12"/>
        <v>Sindbad Amusement Park, Faisalabad, PK</v>
      </c>
      <c r="V296" t="str" cm="1">
        <f t="array" ref="V296">GetCoordinates(U296)</f>
        <v>31.4343673, 73.0871986</v>
      </c>
      <c r="W296" s="13" cm="1">
        <f t="array" ref="W296">TravelTime(A296,U296,AB296)</f>
        <v>9060</v>
      </c>
      <c r="X296" s="13">
        <f t="shared" si="13"/>
        <v>151</v>
      </c>
      <c r="Y296" s="13" cm="1">
        <f t="array" ref="Y296">TravelDistance(A296,U296,AB296)</f>
        <v>182954</v>
      </c>
      <c r="Z296" s="13" t="str">
        <f t="shared" si="14"/>
        <v>182.95km</v>
      </c>
      <c r="AA296" s="14" t="s">
        <v>361</v>
      </c>
      <c r="AB296" t="s">
        <v>355</v>
      </c>
    </row>
    <row r="297" spans="1:28" ht="15" x14ac:dyDescent="0.25">
      <c r="A297" s="2" t="s">
        <v>190</v>
      </c>
      <c r="B297" s="6" t="s">
        <v>72</v>
      </c>
      <c r="D297" s="3" t="s">
        <v>88</v>
      </c>
      <c r="E297" s="4" t="s">
        <v>89</v>
      </c>
      <c r="F297" s="4" t="s">
        <v>90</v>
      </c>
      <c r="G297" s="5">
        <v>1</v>
      </c>
      <c r="H297" s="5">
        <v>1</v>
      </c>
      <c r="I297" s="5">
        <v>1</v>
      </c>
      <c r="J297" s="5">
        <v>1</v>
      </c>
      <c r="K297" s="5">
        <v>1</v>
      </c>
      <c r="L297" s="5">
        <v>1</v>
      </c>
      <c r="M297" s="5">
        <v>1</v>
      </c>
      <c r="N297" s="5">
        <v>1</v>
      </c>
      <c r="O297" s="5">
        <v>1</v>
      </c>
      <c r="P297" s="5">
        <v>1</v>
      </c>
      <c r="Q297" s="5">
        <v>1</v>
      </c>
      <c r="R297" s="5">
        <v>1</v>
      </c>
      <c r="S297" cm="1">
        <f t="array" ref="S297">GetLatitude(U297)</f>
        <v>31.424616100000001</v>
      </c>
      <c r="T297" cm="1">
        <f t="array" ref="T297">GetLongitude(U297)</f>
        <v>73.1445492</v>
      </c>
      <c r="U297" t="str">
        <f t="shared" si="12"/>
        <v>Jinnah Gardens, Faisalabad, PK</v>
      </c>
      <c r="V297" t="str" cm="1">
        <f t="array" ref="V297">GetCoordinates(U297)</f>
        <v>31.4246161, 73.1445492</v>
      </c>
      <c r="W297" s="13" cm="1">
        <f t="array" ref="W297">TravelTime(A297,U297,AB297)</f>
        <v>9262</v>
      </c>
      <c r="X297" s="13">
        <f t="shared" si="13"/>
        <v>154.36666666666667</v>
      </c>
      <c r="Y297" s="13" cm="1">
        <f t="array" ref="Y297">TravelDistance(A297,U297,AB297)</f>
        <v>184034</v>
      </c>
      <c r="Z297" s="13" t="str">
        <f t="shared" si="14"/>
        <v>184.03km</v>
      </c>
      <c r="AA297" s="14" t="s">
        <v>361</v>
      </c>
      <c r="AB297" t="s">
        <v>355</v>
      </c>
    </row>
    <row r="298" spans="1:28" ht="15" x14ac:dyDescent="0.25">
      <c r="A298" s="2" t="s">
        <v>190</v>
      </c>
      <c r="B298" s="6" t="s">
        <v>72</v>
      </c>
      <c r="D298" s="8" t="s">
        <v>92</v>
      </c>
      <c r="E298" s="4" t="s">
        <v>21</v>
      </c>
      <c r="F298" s="4" t="s">
        <v>93</v>
      </c>
      <c r="G298" s="5">
        <v>1</v>
      </c>
      <c r="H298" s="5">
        <v>1</v>
      </c>
      <c r="I298" s="5">
        <v>1</v>
      </c>
      <c r="J298" s="5">
        <v>1</v>
      </c>
      <c r="K298" s="5">
        <v>1</v>
      </c>
      <c r="L298" s="5">
        <v>1</v>
      </c>
      <c r="M298" s="5">
        <v>1</v>
      </c>
      <c r="N298" s="5">
        <v>1</v>
      </c>
      <c r="O298" s="5">
        <v>1</v>
      </c>
      <c r="P298" s="5">
        <v>1</v>
      </c>
      <c r="Q298" s="5">
        <v>1</v>
      </c>
      <c r="R298" s="5">
        <v>1</v>
      </c>
      <c r="S298" cm="1">
        <f t="array" ref="S298">GetLatitude(U298)</f>
        <v>31.478522099999999</v>
      </c>
      <c r="T298" cm="1">
        <f t="array" ref="T298">GetLongitude(U298)</f>
        <v>73.210183700000002</v>
      </c>
      <c r="U298" t="str">
        <f t="shared" si="12"/>
        <v>Gatwala Wildlife Park, Faisalabad, PK</v>
      </c>
      <c r="V298" t="str" cm="1">
        <f t="array" ref="V298">GetCoordinates(U298)</f>
        <v>31.4785221, 73.2101837</v>
      </c>
      <c r="W298" s="13" cm="1">
        <f t="array" ref="W298">TravelTime(A298,U298,AB298)</f>
        <v>8207</v>
      </c>
      <c r="X298" s="13">
        <f t="shared" si="13"/>
        <v>136.78333333333333</v>
      </c>
      <c r="Y298" s="13" cm="1">
        <f t="array" ref="Y298">TravelDistance(A298,U298,AB298)</f>
        <v>173144</v>
      </c>
      <c r="Z298" s="13" t="str">
        <f t="shared" si="14"/>
        <v>173.14km</v>
      </c>
      <c r="AA298" s="14" t="s">
        <v>361</v>
      </c>
      <c r="AB298" t="s">
        <v>355</v>
      </c>
    </row>
    <row r="299" spans="1:28" ht="15" x14ac:dyDescent="0.25">
      <c r="A299" s="2" t="s">
        <v>190</v>
      </c>
      <c r="B299" s="6" t="s">
        <v>72</v>
      </c>
      <c r="D299" s="3" t="s">
        <v>31</v>
      </c>
      <c r="E299" s="4" t="s">
        <v>95</v>
      </c>
      <c r="F299" s="4" t="s">
        <v>96</v>
      </c>
      <c r="G299" s="5">
        <v>1</v>
      </c>
      <c r="H299" s="5">
        <v>1</v>
      </c>
      <c r="I299" s="5">
        <v>1</v>
      </c>
      <c r="J299" s="5">
        <v>1</v>
      </c>
      <c r="K299" s="5">
        <v>1</v>
      </c>
      <c r="L299" s="5">
        <v>1</v>
      </c>
      <c r="M299" s="5">
        <v>1</v>
      </c>
      <c r="N299" s="5">
        <v>1</v>
      </c>
      <c r="O299" s="5">
        <v>1</v>
      </c>
      <c r="P299" s="5">
        <v>1</v>
      </c>
      <c r="Q299" s="5">
        <v>1</v>
      </c>
      <c r="R299" s="5">
        <v>1</v>
      </c>
      <c r="S299" cm="1">
        <f t="array" ref="S299">GetLatitude(U299)</f>
        <v>31.412576300000001</v>
      </c>
      <c r="T299" cm="1">
        <f t="array" ref="T299">GetLongitude(U299)</f>
        <v>73.114884700000005</v>
      </c>
      <c r="U299" t="str">
        <f t="shared" si="12"/>
        <v>Kohinoor One, Faisalabad, PK</v>
      </c>
      <c r="V299" t="str" cm="1">
        <f t="array" ref="V299">GetCoordinates(U299)</f>
        <v>31.4125763, 73.1148847</v>
      </c>
      <c r="W299" s="13" cm="1">
        <f t="array" ref="W299">TravelTime(A299,U299,AB299)</f>
        <v>9210</v>
      </c>
      <c r="X299" s="13">
        <f t="shared" si="13"/>
        <v>153.5</v>
      </c>
      <c r="Y299" s="13" cm="1">
        <f t="array" ref="Y299">TravelDistance(A299,U299,AB299)</f>
        <v>145959</v>
      </c>
      <c r="Z299" s="13" t="str">
        <f t="shared" si="14"/>
        <v>145.96km</v>
      </c>
      <c r="AA299" s="14" t="s">
        <v>361</v>
      </c>
      <c r="AB299" t="s">
        <v>355</v>
      </c>
    </row>
    <row r="300" spans="1:28" ht="15" x14ac:dyDescent="0.25">
      <c r="A300" s="2" t="s">
        <v>190</v>
      </c>
      <c r="B300" s="6" t="s">
        <v>72</v>
      </c>
      <c r="D300" s="3" t="s">
        <v>31</v>
      </c>
      <c r="E300" s="4" t="s">
        <v>55</v>
      </c>
      <c r="F300" s="4" t="s">
        <v>98</v>
      </c>
      <c r="G300" s="5">
        <v>1</v>
      </c>
      <c r="H300" s="5">
        <v>1</v>
      </c>
      <c r="I300" s="5">
        <v>1</v>
      </c>
      <c r="J300" s="5">
        <v>1</v>
      </c>
      <c r="K300" s="5">
        <v>1</v>
      </c>
      <c r="L300" s="5">
        <v>1</v>
      </c>
      <c r="M300" s="5">
        <v>1</v>
      </c>
      <c r="N300" s="5">
        <v>1</v>
      </c>
      <c r="O300" s="5">
        <v>1</v>
      </c>
      <c r="P300" s="5">
        <v>1</v>
      </c>
      <c r="Q300" s="5">
        <v>1</v>
      </c>
      <c r="R300" s="5">
        <v>1</v>
      </c>
      <c r="S300" cm="1">
        <f t="array" ref="S300">GetLatitude(U300)</f>
        <v>31.450366200000001</v>
      </c>
      <c r="T300" cm="1">
        <f t="array" ref="T300">GetLongitude(U300)</f>
        <v>73.134960500000005</v>
      </c>
      <c r="U300" t="str">
        <f t="shared" si="12"/>
        <v>Abdulrehman resort, Faisalabad, PK</v>
      </c>
      <c r="V300" t="str" cm="1">
        <f t="array" ref="V300">GetCoordinates(U300)</f>
        <v>31.4503662, 73.1349605</v>
      </c>
      <c r="W300" s="13" cm="1">
        <f t="array" ref="W300">TravelTime(A300,U300,AB300)</f>
        <v>9206</v>
      </c>
      <c r="X300" s="13">
        <f t="shared" si="13"/>
        <v>153.43333333333334</v>
      </c>
      <c r="Y300" s="13" cm="1">
        <f t="array" ref="Y300">TravelDistance(A300,U300,AB300)</f>
        <v>183475</v>
      </c>
      <c r="Z300" s="13" t="str">
        <f t="shared" si="14"/>
        <v>183.48km</v>
      </c>
      <c r="AA300" s="14" t="s">
        <v>361</v>
      </c>
      <c r="AB300" t="s">
        <v>355</v>
      </c>
    </row>
    <row r="301" spans="1:28" ht="15" x14ac:dyDescent="0.25">
      <c r="A301" s="2" t="s">
        <v>190</v>
      </c>
      <c r="B301" s="6" t="s">
        <v>72</v>
      </c>
      <c r="D301" s="3" t="s">
        <v>31</v>
      </c>
      <c r="E301" s="4" t="s">
        <v>21</v>
      </c>
      <c r="F301" s="4" t="s">
        <v>90</v>
      </c>
      <c r="G301" s="5">
        <v>1</v>
      </c>
      <c r="H301" s="5">
        <v>1</v>
      </c>
      <c r="I301" s="5">
        <v>1</v>
      </c>
      <c r="J301" s="5">
        <v>1</v>
      </c>
      <c r="K301" s="5">
        <v>1</v>
      </c>
      <c r="L301" s="5">
        <v>1</v>
      </c>
      <c r="M301" s="5">
        <v>1</v>
      </c>
      <c r="N301" s="5">
        <v>1</v>
      </c>
      <c r="O301" s="5">
        <v>1</v>
      </c>
      <c r="P301" s="5">
        <v>1</v>
      </c>
      <c r="Q301" s="5">
        <v>1</v>
      </c>
      <c r="R301" s="5">
        <v>1</v>
      </c>
      <c r="S301" cm="1">
        <f t="array" ref="S301">GetLatitude(U301)</f>
        <v>31.424616100000001</v>
      </c>
      <c r="T301" cm="1">
        <f t="array" ref="T301">GetLongitude(U301)</f>
        <v>73.1445492</v>
      </c>
      <c r="U301" t="str">
        <f t="shared" si="12"/>
        <v>Jinnah Gardens, Faisalabad, PK</v>
      </c>
      <c r="V301" t="str" cm="1">
        <f t="array" ref="V301">GetCoordinates(U301)</f>
        <v>31.4246161, 73.1445492</v>
      </c>
      <c r="W301" s="13" cm="1">
        <f t="array" ref="W301">TravelTime(A301,U301,AB301)</f>
        <v>9262</v>
      </c>
      <c r="X301" s="13">
        <f t="shared" si="13"/>
        <v>154.36666666666667</v>
      </c>
      <c r="Y301" s="13" cm="1">
        <f t="array" ref="Y301">TravelDistance(A301,U301,AB301)</f>
        <v>184034</v>
      </c>
      <c r="Z301" s="13" t="str">
        <f t="shared" si="14"/>
        <v>184.03km</v>
      </c>
      <c r="AA301" s="14" t="s">
        <v>361</v>
      </c>
      <c r="AB301" t="s">
        <v>355</v>
      </c>
    </row>
    <row r="302" spans="1:28" ht="15" x14ac:dyDescent="0.25">
      <c r="A302" s="2" t="s">
        <v>190</v>
      </c>
      <c r="B302" s="6" t="s">
        <v>72</v>
      </c>
      <c r="D302" s="3" t="s">
        <v>31</v>
      </c>
      <c r="E302" s="4" t="s">
        <v>95</v>
      </c>
      <c r="F302" s="4" t="s">
        <v>100</v>
      </c>
      <c r="G302" s="5">
        <v>1</v>
      </c>
      <c r="H302" s="5">
        <v>1</v>
      </c>
      <c r="I302" s="5">
        <v>1</v>
      </c>
      <c r="J302" s="5">
        <v>1</v>
      </c>
      <c r="K302" s="5">
        <v>1</v>
      </c>
      <c r="L302" s="5">
        <v>1</v>
      </c>
      <c r="M302" s="5">
        <v>1</v>
      </c>
      <c r="N302" s="5">
        <v>1</v>
      </c>
      <c r="O302" s="5">
        <v>1</v>
      </c>
      <c r="P302" s="5">
        <v>1</v>
      </c>
      <c r="Q302" s="5">
        <v>1</v>
      </c>
      <c r="R302" s="5">
        <v>1</v>
      </c>
      <c r="S302" cm="1">
        <f t="array" ref="S302">GetLatitude(U302)</f>
        <v>31.403548399999998</v>
      </c>
      <c r="T302" cm="1">
        <f t="array" ref="T302">GetLongitude(U302)</f>
        <v>73.1064334</v>
      </c>
      <c r="U302" t="str">
        <f t="shared" si="12"/>
        <v>Sitara Mall, Faisalabad, PK</v>
      </c>
      <c r="V302" t="str" cm="1">
        <f t="array" ref="V302">GetCoordinates(U302)</f>
        <v>31.4035484, 73.1064334</v>
      </c>
      <c r="W302" s="13" cm="1">
        <f t="array" ref="W302">TravelTime(A302,U302,AB302)</f>
        <v>9306</v>
      </c>
      <c r="X302" s="13">
        <f t="shared" si="13"/>
        <v>155.1</v>
      </c>
      <c r="Y302" s="13" cm="1">
        <f t="array" ref="Y302">TravelDistance(A302,U302,AB302)</f>
        <v>146762</v>
      </c>
      <c r="Z302" s="13" t="str">
        <f t="shared" si="14"/>
        <v>146.76km</v>
      </c>
      <c r="AA302" s="14" t="s">
        <v>361</v>
      </c>
      <c r="AB302" t="s">
        <v>355</v>
      </c>
    </row>
    <row r="303" spans="1:28" ht="15" x14ac:dyDescent="0.25">
      <c r="A303" s="2" t="s">
        <v>190</v>
      </c>
      <c r="B303" s="6" t="s">
        <v>72</v>
      </c>
      <c r="D303" s="3" t="s">
        <v>28</v>
      </c>
      <c r="E303" s="4" t="s">
        <v>78</v>
      </c>
      <c r="F303" s="4" t="s">
        <v>101</v>
      </c>
      <c r="G303" s="5">
        <v>1</v>
      </c>
      <c r="H303" s="5">
        <v>1</v>
      </c>
      <c r="I303" s="5">
        <v>1</v>
      </c>
      <c r="J303" s="5">
        <v>1</v>
      </c>
      <c r="K303" s="5">
        <v>1</v>
      </c>
      <c r="L303" s="5">
        <v>1</v>
      </c>
      <c r="M303" s="5">
        <v>1</v>
      </c>
      <c r="N303" s="5">
        <v>1</v>
      </c>
      <c r="O303" s="5">
        <v>1</v>
      </c>
      <c r="P303" s="5">
        <v>1</v>
      </c>
      <c r="Q303" s="5">
        <v>1</v>
      </c>
      <c r="R303" s="5">
        <v>1</v>
      </c>
      <c r="S303" cm="1">
        <f t="array" ref="S303">GetLatitude(U303)</f>
        <v>31.425472599999999</v>
      </c>
      <c r="T303" cm="1">
        <f t="array" ref="T303">GetLongitude(U303)</f>
        <v>73.087470499999995</v>
      </c>
      <c r="U303" t="str">
        <f t="shared" si="12"/>
        <v>Sir Charles James Lyall Monument, Faisalabad, PK</v>
      </c>
      <c r="V303" t="str" cm="1">
        <f t="array" ref="V303">GetCoordinates(U303)</f>
        <v>31.4254726, 73.0874705</v>
      </c>
      <c r="W303" s="13" cm="1">
        <f t="array" ref="W303">TravelTime(A303,U303,AB303)</f>
        <v>9275</v>
      </c>
      <c r="X303" s="13">
        <f t="shared" si="13"/>
        <v>154.58333333333334</v>
      </c>
      <c r="Y303" s="13" cm="1">
        <f t="array" ref="Y303">TravelDistance(A303,U303,AB303)</f>
        <v>184191</v>
      </c>
      <c r="Z303" s="13" t="str">
        <f t="shared" si="14"/>
        <v>184.19km</v>
      </c>
      <c r="AA303" s="14" t="s">
        <v>361</v>
      </c>
      <c r="AB303" t="s">
        <v>355</v>
      </c>
    </row>
    <row r="304" spans="1:28" ht="15" x14ac:dyDescent="0.25">
      <c r="A304" s="2" t="s">
        <v>190</v>
      </c>
      <c r="B304" s="6" t="s">
        <v>72</v>
      </c>
      <c r="D304" s="3" t="s">
        <v>82</v>
      </c>
      <c r="E304" s="4" t="s">
        <v>55</v>
      </c>
      <c r="F304" s="4" t="s">
        <v>102</v>
      </c>
      <c r="G304" s="5">
        <v>1</v>
      </c>
      <c r="H304" s="5">
        <v>1</v>
      </c>
      <c r="I304" s="5">
        <v>1</v>
      </c>
      <c r="J304" s="5">
        <v>1</v>
      </c>
      <c r="K304" s="5">
        <v>1</v>
      </c>
      <c r="L304" s="5">
        <v>1</v>
      </c>
      <c r="M304" s="5">
        <v>1</v>
      </c>
      <c r="N304" s="5">
        <v>1</v>
      </c>
      <c r="O304" s="5">
        <v>1</v>
      </c>
      <c r="P304" s="5">
        <v>1</v>
      </c>
      <c r="Q304" s="5">
        <v>1</v>
      </c>
      <c r="R304" s="5">
        <v>1</v>
      </c>
      <c r="S304" cm="1">
        <f t="array" ref="S304">GetLatitude(U304)</f>
        <v>31.439809</v>
      </c>
      <c r="T304" cm="1">
        <f t="array" ref="T304">GetLongitude(U304)</f>
        <v>73.132282500000002</v>
      </c>
      <c r="U304" t="str">
        <f t="shared" si="12"/>
        <v>Aqua Land Water Park Majorca, Faisalabad, PK</v>
      </c>
      <c r="V304" t="str" cm="1">
        <f t="array" ref="V304">GetCoordinates(U304)</f>
        <v>31.4398090, 73.1322825</v>
      </c>
      <c r="W304" s="13" cm="1">
        <f t="array" ref="W304">TravelTime(A304,U304,AB304)</f>
        <v>8868</v>
      </c>
      <c r="X304" s="13">
        <f t="shared" si="13"/>
        <v>147.80000000000001</v>
      </c>
      <c r="Y304" s="13" cm="1">
        <f t="array" ref="Y304">TravelDistance(A304,U304,AB304)</f>
        <v>181666</v>
      </c>
      <c r="Z304" s="13" t="str">
        <f t="shared" si="14"/>
        <v>181.67km</v>
      </c>
      <c r="AA304" s="14" t="s">
        <v>361</v>
      </c>
      <c r="AB304" t="s">
        <v>355</v>
      </c>
    </row>
    <row r="305" spans="1:28" ht="15" x14ac:dyDescent="0.25">
      <c r="A305" s="2" t="s">
        <v>190</v>
      </c>
      <c r="B305" s="6" t="s">
        <v>72</v>
      </c>
      <c r="D305" s="3" t="s">
        <v>28</v>
      </c>
      <c r="E305" s="4" t="s">
        <v>103</v>
      </c>
      <c r="F305" s="4" t="s">
        <v>104</v>
      </c>
      <c r="G305" s="5">
        <v>1</v>
      </c>
      <c r="H305" s="5">
        <v>1</v>
      </c>
      <c r="I305" s="5">
        <v>1</v>
      </c>
      <c r="J305" s="5">
        <v>1</v>
      </c>
      <c r="K305" s="5">
        <v>1</v>
      </c>
      <c r="L305" s="5">
        <v>1</v>
      </c>
      <c r="M305" s="5">
        <v>1</v>
      </c>
      <c r="N305" s="5">
        <v>1</v>
      </c>
      <c r="O305" s="5">
        <v>1</v>
      </c>
      <c r="P305" s="5">
        <v>1</v>
      </c>
      <c r="Q305" s="5">
        <v>1</v>
      </c>
      <c r="R305" s="5">
        <v>1</v>
      </c>
      <c r="S305" cm="1">
        <f t="array" ref="S305">GetLatitude(U305)</f>
        <v>31.421836299999999</v>
      </c>
      <c r="T305" cm="1">
        <f t="array" ref="T305">GetLongitude(U305)</f>
        <v>73.083663099999995</v>
      </c>
      <c r="U305" t="str">
        <f t="shared" si="12"/>
        <v>Lyallpur Museum, Faisalabad, PK</v>
      </c>
      <c r="V305" t="str" cm="1">
        <f t="array" ref="V305">GetCoordinates(U305)</f>
        <v>31.4218363, 73.0836631</v>
      </c>
      <c r="W305" s="13" cm="1">
        <f t="array" ref="W305">TravelTime(A305,U305,AB305)</f>
        <v>9277</v>
      </c>
      <c r="X305" s="13">
        <f t="shared" si="13"/>
        <v>154.61666666666667</v>
      </c>
      <c r="Y305" s="13" cm="1">
        <f t="array" ref="Y305">TravelDistance(A305,U305,AB305)</f>
        <v>184588</v>
      </c>
      <c r="Z305" s="13" t="str">
        <f t="shared" si="14"/>
        <v>184.59km</v>
      </c>
      <c r="AA305" s="14" t="s">
        <v>361</v>
      </c>
      <c r="AB305" t="s">
        <v>355</v>
      </c>
    </row>
    <row r="306" spans="1:28" ht="15" x14ac:dyDescent="0.25">
      <c r="A306" s="2" t="s">
        <v>190</v>
      </c>
      <c r="B306" s="6" t="s">
        <v>72</v>
      </c>
      <c r="D306" s="3" t="s">
        <v>31</v>
      </c>
      <c r="E306" s="4" t="s">
        <v>21</v>
      </c>
      <c r="F306" s="4" t="s">
        <v>105</v>
      </c>
      <c r="G306" s="5">
        <v>1</v>
      </c>
      <c r="H306" s="5">
        <v>1</v>
      </c>
      <c r="I306" s="5">
        <v>1</v>
      </c>
      <c r="J306" s="5">
        <v>1</v>
      </c>
      <c r="K306" s="5">
        <v>1</v>
      </c>
      <c r="L306" s="5">
        <v>1</v>
      </c>
      <c r="M306" s="5">
        <v>1</v>
      </c>
      <c r="N306" s="5">
        <v>1</v>
      </c>
      <c r="O306" s="5">
        <v>1</v>
      </c>
      <c r="P306" s="5">
        <v>1</v>
      </c>
      <c r="Q306" s="5">
        <v>1</v>
      </c>
      <c r="R306" s="5">
        <v>1</v>
      </c>
      <c r="S306" cm="1">
        <f t="array" ref="S306">GetLatitude(U306)</f>
        <v>31.406549900000002</v>
      </c>
      <c r="T306" cm="1">
        <f t="array" ref="T306">GetLongitude(U306)</f>
        <v>73.110446300000007</v>
      </c>
      <c r="U306" t="str">
        <f t="shared" si="12"/>
        <v>D Ground Park, Faisalabad, PK</v>
      </c>
      <c r="V306" t="str" cm="1">
        <f t="array" ref="V306">GetCoordinates(U306)</f>
        <v>31.4065499, 73.1104463</v>
      </c>
      <c r="W306" s="13" cm="1">
        <f t="array" ref="W306">TravelTime(A306,U306,AB306)</f>
        <v>9218</v>
      </c>
      <c r="X306" s="13">
        <f t="shared" si="13"/>
        <v>153.63333333333333</v>
      </c>
      <c r="Y306" s="13" cm="1">
        <f t="array" ref="Y306">TravelDistance(A306,U306,AB306)</f>
        <v>146230</v>
      </c>
      <c r="Z306" s="13" t="str">
        <f t="shared" si="14"/>
        <v>146.23km</v>
      </c>
      <c r="AA306" s="14" t="s">
        <v>361</v>
      </c>
      <c r="AB306" t="s">
        <v>355</v>
      </c>
    </row>
    <row r="307" spans="1:28" ht="15" x14ac:dyDescent="0.25">
      <c r="A307" s="2" t="s">
        <v>190</v>
      </c>
      <c r="B307" s="6" t="s">
        <v>72</v>
      </c>
      <c r="D307" s="3" t="s">
        <v>28</v>
      </c>
      <c r="E307" s="4" t="s">
        <v>106</v>
      </c>
      <c r="F307" s="4" t="s">
        <v>107</v>
      </c>
      <c r="G307" s="5">
        <v>1</v>
      </c>
      <c r="H307" s="5">
        <v>1</v>
      </c>
      <c r="I307" s="5">
        <v>1</v>
      </c>
      <c r="J307" s="5">
        <v>1</v>
      </c>
      <c r="K307" s="5">
        <v>1</v>
      </c>
      <c r="L307" s="5">
        <v>1</v>
      </c>
      <c r="M307" s="5">
        <v>1</v>
      </c>
      <c r="N307" s="5">
        <v>1</v>
      </c>
      <c r="O307" s="5">
        <v>1</v>
      </c>
      <c r="P307" s="5">
        <v>1</v>
      </c>
      <c r="Q307" s="5">
        <v>1</v>
      </c>
      <c r="R307" s="5">
        <v>1</v>
      </c>
      <c r="S307" cm="1">
        <f t="array" ref="S307">GetLatitude(U307)</f>
        <v>31.419415399999998</v>
      </c>
      <c r="T307" cm="1">
        <f t="array" ref="T307">GetLongitude(U307)</f>
        <v>73.080371299999996</v>
      </c>
      <c r="U307" t="str">
        <f t="shared" si="12"/>
        <v>Clock Tower, Faisalabad, PK</v>
      </c>
      <c r="V307" t="str" cm="1">
        <f t="array" ref="V307">GetCoordinates(U307)</f>
        <v>31.4194154, 73.0803713</v>
      </c>
      <c r="W307" s="13" cm="1">
        <f t="array" ref="W307">TravelTime(A307,U307,AB307)</f>
        <v>9349</v>
      </c>
      <c r="X307" s="13">
        <f t="shared" si="13"/>
        <v>155.81666666666666</v>
      </c>
      <c r="Y307" s="13" cm="1">
        <f t="array" ref="Y307">TravelDistance(A307,U307,AB307)</f>
        <v>184494</v>
      </c>
      <c r="Z307" s="13" t="str">
        <f t="shared" si="14"/>
        <v>184.49km</v>
      </c>
      <c r="AA307" s="14" t="s">
        <v>361</v>
      </c>
      <c r="AB307" t="s">
        <v>355</v>
      </c>
    </row>
    <row r="308" spans="1:28" ht="15" x14ac:dyDescent="0.25">
      <c r="A308" s="2" t="s">
        <v>190</v>
      </c>
      <c r="B308" s="6" t="s">
        <v>72</v>
      </c>
      <c r="D308" s="3" t="s">
        <v>31</v>
      </c>
      <c r="E308" s="4" t="s">
        <v>21</v>
      </c>
      <c r="F308" s="4" t="s">
        <v>108</v>
      </c>
      <c r="G308" s="5">
        <v>1</v>
      </c>
      <c r="H308" s="5">
        <v>1</v>
      </c>
      <c r="I308" s="5">
        <v>1</v>
      </c>
      <c r="J308" s="5">
        <v>1</v>
      </c>
      <c r="K308" s="5">
        <v>1</v>
      </c>
      <c r="L308" s="5">
        <v>1</v>
      </c>
      <c r="M308" s="5">
        <v>1</v>
      </c>
      <c r="N308" s="5">
        <v>1</v>
      </c>
      <c r="O308" s="5">
        <v>1</v>
      </c>
      <c r="P308" s="5">
        <v>1</v>
      </c>
      <c r="Q308" s="5">
        <v>1</v>
      </c>
      <c r="R308" s="5">
        <v>1</v>
      </c>
      <c r="S308" cm="1">
        <f t="array" ref="S308">GetLatitude(U308)</f>
        <v>31.396359</v>
      </c>
      <c r="T308" cm="1">
        <f t="array" ref="T308">GetLongitude(U308)</f>
        <v>73.096772000000001</v>
      </c>
      <c r="U308" t="str">
        <f t="shared" si="12"/>
        <v>Pahari Grounds, Faisalabad, PK</v>
      </c>
      <c r="V308" t="str" cm="1">
        <f t="array" ref="V308">GetCoordinates(U308)</f>
        <v>31.3963590, 73.0967720</v>
      </c>
      <c r="W308" s="13" cm="1">
        <f t="array" ref="W308">TravelTime(A308,U308,AB308)</f>
        <v>9592</v>
      </c>
      <c r="X308" s="13">
        <f t="shared" si="13"/>
        <v>159.86666666666667</v>
      </c>
      <c r="Y308" s="13" cm="1">
        <f t="array" ref="Y308">TravelDistance(A308,U308,AB308)</f>
        <v>148210</v>
      </c>
      <c r="Z308" s="13" t="str">
        <f t="shared" si="14"/>
        <v>148.21km</v>
      </c>
      <c r="AA308" s="14" t="s">
        <v>361</v>
      </c>
      <c r="AB308" t="s">
        <v>355</v>
      </c>
    </row>
    <row r="309" spans="1:28" ht="15" x14ac:dyDescent="0.25">
      <c r="A309" s="2" t="s">
        <v>190</v>
      </c>
      <c r="B309" s="2" t="s">
        <v>18</v>
      </c>
      <c r="D309" s="3" t="s">
        <v>20</v>
      </c>
      <c r="E309" s="4" t="s">
        <v>21</v>
      </c>
      <c r="F309" s="4" t="s">
        <v>287</v>
      </c>
      <c r="G309" s="5">
        <v>1</v>
      </c>
      <c r="H309" s="5">
        <v>1</v>
      </c>
      <c r="I309" s="5">
        <v>1</v>
      </c>
      <c r="J309" s="5">
        <v>1</v>
      </c>
      <c r="K309" s="5">
        <v>1</v>
      </c>
      <c r="L309" s="5">
        <v>1</v>
      </c>
      <c r="M309" s="5">
        <v>1</v>
      </c>
      <c r="N309" s="5">
        <v>1</v>
      </c>
      <c r="O309" s="5">
        <v>1</v>
      </c>
      <c r="P309" s="5">
        <v>1</v>
      </c>
      <c r="Q309" s="5">
        <v>1</v>
      </c>
      <c r="R309" s="5">
        <v>1</v>
      </c>
      <c r="S309" cm="1">
        <f t="array" ref="S309">GetLatitude(U309)</f>
        <v>33.743589700000001</v>
      </c>
      <c r="T309" cm="1">
        <f t="array" ref="T309">GetLongitude(U309)</f>
        <v>73.031487499999997</v>
      </c>
      <c r="U309" t="str">
        <f t="shared" si="12"/>
        <v>Trail 6, Islamabad, PK</v>
      </c>
      <c r="V309" t="str" cm="1">
        <f t="array" ref="V309">GetCoordinates(U309)</f>
        <v>33.7435897, 73.0314875</v>
      </c>
      <c r="W309" s="13" cm="1">
        <f t="array" ref="W309">TravelTime(A309,U309,AB309)</f>
        <v>16414</v>
      </c>
      <c r="X309" s="13">
        <f t="shared" si="13"/>
        <v>273.56666666666666</v>
      </c>
      <c r="Y309" s="13" cm="1">
        <f t="array" ref="Y309">TravelDistance(A309,U309,AB309)</f>
        <v>383025</v>
      </c>
      <c r="Z309" s="13" t="str">
        <f t="shared" si="14"/>
        <v>383.03km</v>
      </c>
      <c r="AA309" s="14" t="s">
        <v>361</v>
      </c>
      <c r="AB309" t="s">
        <v>355</v>
      </c>
    </row>
    <row r="310" spans="1:28" ht="15" x14ac:dyDescent="0.25">
      <c r="A310" s="2" t="s">
        <v>190</v>
      </c>
      <c r="B310" s="2" t="s">
        <v>18</v>
      </c>
      <c r="D310" s="3" t="s">
        <v>113</v>
      </c>
      <c r="E310" s="4" t="s">
        <v>21</v>
      </c>
      <c r="F310" s="4" t="s">
        <v>288</v>
      </c>
      <c r="G310" s="5">
        <v>1</v>
      </c>
      <c r="H310" s="5">
        <v>1</v>
      </c>
      <c r="I310" s="5">
        <v>1</v>
      </c>
      <c r="J310" s="5">
        <v>1</v>
      </c>
      <c r="K310" s="5">
        <v>1</v>
      </c>
      <c r="L310" s="5">
        <v>1</v>
      </c>
      <c r="M310" s="5">
        <v>1</v>
      </c>
      <c r="N310" s="5">
        <v>1</v>
      </c>
      <c r="O310" s="5">
        <v>1</v>
      </c>
      <c r="P310" s="5">
        <v>1</v>
      </c>
      <c r="Q310" s="5">
        <v>1</v>
      </c>
      <c r="R310" s="5">
        <v>1</v>
      </c>
      <c r="S310" cm="1">
        <f t="array" ref="S310">GetLatitude(U310)</f>
        <v>33.722057200000002</v>
      </c>
      <c r="T310" cm="1">
        <f t="array" ref="T310">GetLongitude(U310)</f>
        <v>72.915135199999995</v>
      </c>
      <c r="U310" t="str">
        <f t="shared" si="12"/>
        <v>Shah Allah Ditta Caves, Islamabad, PK</v>
      </c>
      <c r="V310" t="str" cm="1">
        <f t="array" ref="V310">GetCoordinates(U310)</f>
        <v>33.7220572, 72.9151352</v>
      </c>
      <c r="W310" s="13" cm="1">
        <f t="array" ref="W310">TravelTime(A310,U310,AB310)</f>
        <v>17388</v>
      </c>
      <c r="X310" s="13">
        <f t="shared" si="13"/>
        <v>289.8</v>
      </c>
      <c r="Y310" s="13" cm="1">
        <f t="array" ref="Y310">TravelDistance(A310,U310,AB310)</f>
        <v>386365</v>
      </c>
      <c r="Z310" s="13" t="str">
        <f t="shared" si="14"/>
        <v>386.37km</v>
      </c>
      <c r="AA310" s="14" t="s">
        <v>361</v>
      </c>
      <c r="AB310" t="s">
        <v>355</v>
      </c>
    </row>
    <row r="311" spans="1:28" ht="15" x14ac:dyDescent="0.25">
      <c r="A311" s="2" t="s">
        <v>190</v>
      </c>
      <c r="B311" s="2" t="s">
        <v>18</v>
      </c>
      <c r="D311" s="3" t="s">
        <v>20</v>
      </c>
      <c r="E311" s="4" t="s">
        <v>21</v>
      </c>
      <c r="F311" s="4" t="s">
        <v>289</v>
      </c>
      <c r="G311" s="5">
        <v>1</v>
      </c>
      <c r="H311" s="5">
        <v>1</v>
      </c>
      <c r="I311" s="5">
        <v>1</v>
      </c>
      <c r="J311" s="5">
        <v>1</v>
      </c>
      <c r="K311" s="5">
        <v>1</v>
      </c>
      <c r="L311" s="5">
        <v>1</v>
      </c>
      <c r="M311" s="5">
        <v>1</v>
      </c>
      <c r="N311" s="5">
        <v>1</v>
      </c>
      <c r="O311" s="5">
        <v>1</v>
      </c>
      <c r="P311" s="5">
        <v>1</v>
      </c>
      <c r="Q311" s="5">
        <v>1</v>
      </c>
      <c r="R311" s="5">
        <v>1</v>
      </c>
      <c r="S311" cm="1">
        <f t="array" ref="S311">GetLatitude(U311)</f>
        <v>33.688496000000001</v>
      </c>
      <c r="T311" cm="1">
        <f t="array" ref="T311">GetLongitude(U311)</f>
        <v>73.102503600000006</v>
      </c>
      <c r="U311" t="str">
        <f t="shared" si="12"/>
        <v>Shakarpariyan Hills, Islamabad, PK</v>
      </c>
      <c r="V311" t="str" cm="1">
        <f t="array" ref="V311">GetCoordinates(U311)</f>
        <v>33.6884960, 73.1025036</v>
      </c>
      <c r="W311" s="13" cm="1">
        <f t="array" ref="W311">TravelTime(A311,U311,AB311)</f>
        <v>16443</v>
      </c>
      <c r="X311" s="13">
        <f t="shared" si="13"/>
        <v>274.05</v>
      </c>
      <c r="Y311" s="13" cm="1">
        <f t="array" ref="Y311">TravelDistance(A311,U311,AB311)</f>
        <v>382850</v>
      </c>
      <c r="Z311" s="13" t="str">
        <f t="shared" si="14"/>
        <v>382.85km</v>
      </c>
      <c r="AA311" s="14" t="s">
        <v>361</v>
      </c>
      <c r="AB311" t="s">
        <v>355</v>
      </c>
    </row>
    <row r="312" spans="1:28" ht="15" x14ac:dyDescent="0.25">
      <c r="A312" s="2" t="s">
        <v>190</v>
      </c>
      <c r="B312" s="2" t="s">
        <v>18</v>
      </c>
      <c r="D312" s="3" t="s">
        <v>28</v>
      </c>
      <c r="E312" s="4" t="s">
        <v>29</v>
      </c>
      <c r="F312" s="4" t="s">
        <v>290</v>
      </c>
      <c r="G312" s="5">
        <v>1</v>
      </c>
      <c r="H312" s="5">
        <v>1</v>
      </c>
      <c r="I312" s="5">
        <v>1</v>
      </c>
      <c r="J312" s="5">
        <v>1</v>
      </c>
      <c r="K312" s="5">
        <v>1</v>
      </c>
      <c r="L312" s="5">
        <v>1</v>
      </c>
      <c r="M312" s="5">
        <v>1</v>
      </c>
      <c r="N312" s="5">
        <v>1</v>
      </c>
      <c r="O312" s="5">
        <v>1</v>
      </c>
      <c r="P312" s="5">
        <v>1</v>
      </c>
      <c r="Q312" s="5">
        <v>1</v>
      </c>
      <c r="R312" s="5">
        <v>1</v>
      </c>
      <c r="S312" cm="1">
        <f t="array" ref="S312">GetLatitude(U312)</f>
        <v>33.710984799999999</v>
      </c>
      <c r="T312" cm="1">
        <f t="array" ref="T312">GetLongitude(U312)</f>
        <v>73.045108400000004</v>
      </c>
      <c r="U312" t="str">
        <f t="shared" si="12"/>
        <v>Fatima Church, Islamabad, PK</v>
      </c>
      <c r="V312" t="str" cm="1">
        <f t="array" ref="V312">GetCoordinates(U312)</f>
        <v>33.7109848, 73.0451084</v>
      </c>
      <c r="W312" s="13" cm="1">
        <f t="array" ref="W312">TravelTime(A312,U312,AB312)</f>
        <v>16114</v>
      </c>
      <c r="X312" s="13">
        <f t="shared" si="13"/>
        <v>268.56666666666666</v>
      </c>
      <c r="Y312" s="13" cm="1">
        <f t="array" ref="Y312">TravelDistance(A312,U312,AB312)</f>
        <v>380921</v>
      </c>
      <c r="Z312" s="13" t="str">
        <f t="shared" si="14"/>
        <v>380.92km</v>
      </c>
      <c r="AA312" s="14" t="s">
        <v>361</v>
      </c>
      <c r="AB312" t="s">
        <v>355</v>
      </c>
    </row>
    <row r="313" spans="1:28" ht="15" x14ac:dyDescent="0.25">
      <c r="A313" s="2" t="s">
        <v>190</v>
      </c>
      <c r="B313" s="2" t="s">
        <v>18</v>
      </c>
      <c r="D313" s="3" t="s">
        <v>113</v>
      </c>
      <c r="E313" s="4" t="s">
        <v>25</v>
      </c>
      <c r="F313" s="4" t="s">
        <v>291</v>
      </c>
      <c r="G313" s="5">
        <v>1</v>
      </c>
      <c r="H313" s="5">
        <v>1</v>
      </c>
      <c r="I313" s="5">
        <v>1</v>
      </c>
      <c r="J313" s="5">
        <v>1</v>
      </c>
      <c r="K313" s="5">
        <v>1</v>
      </c>
      <c r="L313" s="5">
        <v>1</v>
      </c>
      <c r="M313" s="5">
        <v>1</v>
      </c>
      <c r="N313" s="5">
        <v>1</v>
      </c>
      <c r="O313" s="5">
        <v>1</v>
      </c>
      <c r="P313" s="5">
        <v>1</v>
      </c>
      <c r="Q313" s="5">
        <v>1</v>
      </c>
      <c r="R313" s="5">
        <v>1</v>
      </c>
      <c r="S313" cm="1">
        <f t="array" ref="S313">GetLatitude(U313)</f>
        <v>33.748958000000002</v>
      </c>
      <c r="T313" cm="1">
        <f t="array" ref="T313">GetLongitude(U313)</f>
        <v>73.078859600000001</v>
      </c>
      <c r="U313" t="str">
        <f t="shared" si="12"/>
        <v>Trail 3, Islamabad, PK</v>
      </c>
      <c r="V313" t="str" cm="1">
        <f t="array" ref="V313">GetCoordinates(U313)</f>
        <v>33.7489580, 73.0788596</v>
      </c>
      <c r="W313" s="13" cm="1">
        <f t="array" ref="W313">TravelTime(A313,U313,AB313)</f>
        <v>16647</v>
      </c>
      <c r="X313" s="13">
        <f t="shared" si="13"/>
        <v>277.45</v>
      </c>
      <c r="Y313" s="13" cm="1">
        <f t="array" ref="Y313">TravelDistance(A313,U313,AB313)</f>
        <v>385903</v>
      </c>
      <c r="Z313" s="13" t="str">
        <f t="shared" si="14"/>
        <v>385.9km</v>
      </c>
      <c r="AA313" s="14" t="s">
        <v>361</v>
      </c>
      <c r="AB313" t="s">
        <v>355</v>
      </c>
    </row>
    <row r="314" spans="1:28" ht="15" x14ac:dyDescent="0.25">
      <c r="A314" s="2" t="s">
        <v>190</v>
      </c>
      <c r="B314" s="2" t="s">
        <v>18</v>
      </c>
      <c r="D314" s="3" t="s">
        <v>28</v>
      </c>
      <c r="E314" s="4" t="s">
        <v>29</v>
      </c>
      <c r="F314" s="4" t="s">
        <v>292</v>
      </c>
      <c r="G314" s="5">
        <v>1</v>
      </c>
      <c r="H314" s="5">
        <v>1</v>
      </c>
      <c r="I314" s="5">
        <v>1</v>
      </c>
      <c r="J314" s="5">
        <v>1</v>
      </c>
      <c r="K314" s="5">
        <v>1</v>
      </c>
      <c r="L314" s="5">
        <v>1</v>
      </c>
      <c r="M314" s="5">
        <v>1</v>
      </c>
      <c r="N314" s="5">
        <v>1</v>
      </c>
      <c r="O314" s="5">
        <v>1</v>
      </c>
      <c r="P314" s="5">
        <v>1</v>
      </c>
      <c r="Q314" s="5">
        <v>1</v>
      </c>
      <c r="R314" s="5">
        <v>1</v>
      </c>
      <c r="S314" cm="1">
        <f t="array" ref="S314">GetLatitude(U314)</f>
        <v>33.693072100000002</v>
      </c>
      <c r="T314" cm="1">
        <f t="array" ref="T314">GetLongitude(U314)</f>
        <v>73.068904099999997</v>
      </c>
      <c r="U314" t="str">
        <f t="shared" si="12"/>
        <v>Pakistan monument, Islamabad, PK</v>
      </c>
      <c r="V314" t="str" cm="1">
        <f t="array" ref="V314">GetCoordinates(U314)</f>
        <v>33.6930721, 73.0689041</v>
      </c>
      <c r="W314" s="13" cm="1">
        <f t="array" ref="W314">TravelTime(A314,U314,AB314)</f>
        <v>16046</v>
      </c>
      <c r="X314" s="13">
        <f t="shared" si="13"/>
        <v>267.43333333333334</v>
      </c>
      <c r="Y314" s="13" cm="1">
        <f t="array" ref="Y314">TravelDistance(A314,U314,AB314)</f>
        <v>379690</v>
      </c>
      <c r="Z314" s="13" t="str">
        <f t="shared" si="14"/>
        <v>379.69km</v>
      </c>
      <c r="AA314" s="14" t="s">
        <v>361</v>
      </c>
      <c r="AB314" t="s">
        <v>355</v>
      </c>
    </row>
    <row r="315" spans="1:28" ht="15" x14ac:dyDescent="0.25">
      <c r="A315" s="2" t="s">
        <v>190</v>
      </c>
      <c r="B315" s="2" t="s">
        <v>18</v>
      </c>
      <c r="D315" s="3" t="s">
        <v>28</v>
      </c>
      <c r="E315" s="4" t="s">
        <v>29</v>
      </c>
      <c r="F315" s="4" t="s">
        <v>293</v>
      </c>
      <c r="G315" s="5">
        <v>1</v>
      </c>
      <c r="H315" s="5">
        <v>1</v>
      </c>
      <c r="I315" s="5">
        <v>1</v>
      </c>
      <c r="J315" s="5">
        <v>1</v>
      </c>
      <c r="K315" s="5">
        <v>1</v>
      </c>
      <c r="L315" s="5">
        <v>1</v>
      </c>
      <c r="M315" s="5">
        <v>1</v>
      </c>
      <c r="N315" s="5">
        <v>1</v>
      </c>
      <c r="O315" s="5">
        <v>1</v>
      </c>
      <c r="P315" s="5">
        <v>1</v>
      </c>
      <c r="Q315" s="5">
        <v>1</v>
      </c>
      <c r="R315" s="5">
        <v>1</v>
      </c>
      <c r="S315" cm="1">
        <f t="array" ref="S315">GetLatitude(U315)</f>
        <v>33.747631599999998</v>
      </c>
      <c r="T315" cm="1">
        <f t="array" ref="T315">GetLongitude(U315)</f>
        <v>73.136527900000004</v>
      </c>
      <c r="U315" t="str">
        <f t="shared" si="12"/>
        <v>Quaid-i-Azam University, Islamabad, PK</v>
      </c>
      <c r="V315" t="str" cm="1">
        <f t="array" ref="V315">GetCoordinates(U315)</f>
        <v>33.7476316, 73.1365279</v>
      </c>
      <c r="W315" s="13" cm="1">
        <f t="array" ref="W315">TravelTime(A315,U315,AB315)</f>
        <v>17021</v>
      </c>
      <c r="X315" s="13">
        <f t="shared" si="13"/>
        <v>283.68333333333334</v>
      </c>
      <c r="Y315" s="13" cm="1">
        <f t="array" ref="Y315">TravelDistance(A315,U315,AB315)</f>
        <v>389337</v>
      </c>
      <c r="Z315" s="13" t="str">
        <f t="shared" si="14"/>
        <v>389.34km</v>
      </c>
      <c r="AA315" s="14" t="s">
        <v>361</v>
      </c>
      <c r="AB315" t="s">
        <v>355</v>
      </c>
    </row>
    <row r="316" spans="1:28" ht="15" x14ac:dyDescent="0.25">
      <c r="A316" s="2" t="s">
        <v>190</v>
      </c>
      <c r="B316" s="2" t="s">
        <v>18</v>
      </c>
      <c r="D316" s="3" t="s">
        <v>28</v>
      </c>
      <c r="E316" s="4" t="s">
        <v>103</v>
      </c>
      <c r="F316" s="4" t="s">
        <v>294</v>
      </c>
      <c r="G316" s="5">
        <v>1</v>
      </c>
      <c r="H316" s="5">
        <v>1</v>
      </c>
      <c r="I316" s="5">
        <v>1</v>
      </c>
      <c r="J316" s="5">
        <v>1</v>
      </c>
      <c r="K316" s="5">
        <v>1</v>
      </c>
      <c r="L316" s="5">
        <v>1</v>
      </c>
      <c r="M316" s="5">
        <v>1</v>
      </c>
      <c r="N316" s="5">
        <v>1</v>
      </c>
      <c r="O316" s="5">
        <v>1</v>
      </c>
      <c r="P316" s="5">
        <v>1</v>
      </c>
      <c r="Q316" s="5">
        <v>1</v>
      </c>
      <c r="R316" s="5">
        <v>1</v>
      </c>
      <c r="S316" cm="1">
        <f t="array" ref="S316">GetLatitude(U316)</f>
        <v>33.688465800000003</v>
      </c>
      <c r="T316" cm="1">
        <f t="array" ref="T316">GetLongitude(U316)</f>
        <v>73.072661199999999</v>
      </c>
      <c r="U316" t="str">
        <f t="shared" si="12"/>
        <v>Lok Virsa Museum, Islamabad, PK</v>
      </c>
      <c r="V316" t="str" cm="1">
        <f t="array" ref="V316">GetCoordinates(U316)</f>
        <v>33.6884658, 73.0726612</v>
      </c>
      <c r="W316" s="13" cm="1">
        <f t="array" ref="W316">TravelTime(A316,U316,AB316)</f>
        <v>16159</v>
      </c>
      <c r="X316" s="13">
        <f t="shared" si="13"/>
        <v>269.31666666666666</v>
      </c>
      <c r="Y316" s="13" cm="1">
        <f t="array" ref="Y316">TravelDistance(A316,U316,AB316)</f>
        <v>381834</v>
      </c>
      <c r="Z316" s="13" t="str">
        <f t="shared" si="14"/>
        <v>381.83km</v>
      </c>
      <c r="AA316" s="14" t="s">
        <v>361</v>
      </c>
      <c r="AB316" t="s">
        <v>355</v>
      </c>
    </row>
    <row r="317" spans="1:28" ht="15" x14ac:dyDescent="0.25">
      <c r="A317" s="2" t="s">
        <v>190</v>
      </c>
      <c r="B317" s="2" t="s">
        <v>18</v>
      </c>
      <c r="D317" s="3" t="s">
        <v>20</v>
      </c>
      <c r="E317" s="4" t="s">
        <v>29</v>
      </c>
      <c r="F317" s="4" t="s">
        <v>295</v>
      </c>
      <c r="G317" s="5">
        <v>1</v>
      </c>
      <c r="H317" s="5">
        <v>1</v>
      </c>
      <c r="I317" s="5">
        <v>1</v>
      </c>
      <c r="J317" s="5">
        <v>1</v>
      </c>
      <c r="K317" s="5">
        <v>1</v>
      </c>
      <c r="L317" s="5">
        <v>1</v>
      </c>
      <c r="M317" s="5">
        <v>1</v>
      </c>
      <c r="N317" s="5">
        <v>1</v>
      </c>
      <c r="O317" s="5">
        <v>1</v>
      </c>
      <c r="P317" s="5">
        <v>1</v>
      </c>
      <c r="Q317" s="5">
        <v>1</v>
      </c>
      <c r="R317" s="5">
        <v>1</v>
      </c>
      <c r="S317" cm="1">
        <f t="array" ref="S317">GetLatitude(U317)</f>
        <v>33.738289999999999</v>
      </c>
      <c r="T317" cm="1">
        <f t="array" ref="T317">GetLongitude(U317)</f>
        <v>73.056522999999999</v>
      </c>
      <c r="U317" t="str">
        <f t="shared" si="12"/>
        <v>Daman-e-Koh, Islamabad, PK</v>
      </c>
      <c r="V317" t="str" cm="1">
        <f t="array" ref="V317">GetCoordinates(U317)</f>
        <v>33.7382900, 73.0565230</v>
      </c>
      <c r="W317" s="13" cm="1">
        <f t="array" ref="W317">TravelTime(A317,U317,AB317)</f>
        <v>16897</v>
      </c>
      <c r="X317" s="13">
        <f t="shared" si="13"/>
        <v>281.61666666666667</v>
      </c>
      <c r="Y317" s="13" cm="1">
        <f t="array" ref="Y317">TravelDistance(A317,U317,AB317)</f>
        <v>387643</v>
      </c>
      <c r="Z317" s="13" t="str">
        <f t="shared" si="14"/>
        <v>387.64km</v>
      </c>
      <c r="AA317" s="14" t="s">
        <v>361</v>
      </c>
      <c r="AB317" t="s">
        <v>355</v>
      </c>
    </row>
    <row r="318" spans="1:28" ht="15" x14ac:dyDescent="0.25">
      <c r="A318" s="2" t="s">
        <v>190</v>
      </c>
      <c r="B318" s="2" t="s">
        <v>18</v>
      </c>
      <c r="D318" s="3" t="s">
        <v>28</v>
      </c>
      <c r="E318" s="4" t="s">
        <v>103</v>
      </c>
      <c r="F318" s="4" t="s">
        <v>296</v>
      </c>
      <c r="G318" s="5">
        <v>1</v>
      </c>
      <c r="H318" s="5">
        <v>1</v>
      </c>
      <c r="I318" s="5">
        <v>1</v>
      </c>
      <c r="J318" s="5">
        <v>1</v>
      </c>
      <c r="K318" s="5">
        <v>1</v>
      </c>
      <c r="L318" s="5">
        <v>1</v>
      </c>
      <c r="M318" s="5">
        <v>1</v>
      </c>
      <c r="N318" s="5">
        <v>1</v>
      </c>
      <c r="O318" s="5">
        <v>1</v>
      </c>
      <c r="P318" s="5">
        <v>1</v>
      </c>
      <c r="Q318" s="5">
        <v>1</v>
      </c>
      <c r="R318" s="5">
        <v>1</v>
      </c>
      <c r="S318" cm="1">
        <f t="array" ref="S318">GetLatitude(U318)</f>
        <v>33.686445999999997</v>
      </c>
      <c r="T318" cm="1">
        <f t="array" ref="T318">GetLongitude(U318)</f>
        <v>73.076252199999999</v>
      </c>
      <c r="U318" t="str">
        <f t="shared" si="12"/>
        <v>Pakistan Museum of Natural History, Islamabad, PK</v>
      </c>
      <c r="V318" t="str" cm="1">
        <f t="array" ref="V318">GetCoordinates(U318)</f>
        <v>33.6864460, 73.0762522</v>
      </c>
      <c r="W318" s="13" cm="1">
        <f t="array" ref="W318">TravelTime(A318,U318,AB318)</f>
        <v>16125</v>
      </c>
      <c r="X318" s="13">
        <f t="shared" si="13"/>
        <v>268.75</v>
      </c>
      <c r="Y318" s="13" cm="1">
        <f t="array" ref="Y318">TravelDistance(A318,U318,AB318)</f>
        <v>381536</v>
      </c>
      <c r="Z318" s="13" t="str">
        <f t="shared" si="14"/>
        <v>381.54km</v>
      </c>
      <c r="AA318" s="14" t="s">
        <v>361</v>
      </c>
      <c r="AB318" t="s">
        <v>355</v>
      </c>
    </row>
    <row r="319" spans="1:28" ht="15" x14ac:dyDescent="0.25">
      <c r="A319" s="2" t="s">
        <v>190</v>
      </c>
      <c r="B319" s="2" t="s">
        <v>18</v>
      </c>
      <c r="D319" s="3" t="s">
        <v>92</v>
      </c>
      <c r="E319" s="4" t="s">
        <v>21</v>
      </c>
      <c r="F319" s="4" t="s">
        <v>297</v>
      </c>
      <c r="G319" s="5">
        <v>1</v>
      </c>
      <c r="H319" s="5">
        <v>1</v>
      </c>
      <c r="I319" s="5">
        <v>1</v>
      </c>
      <c r="J319" s="5">
        <v>1</v>
      </c>
      <c r="K319" s="5">
        <v>1</v>
      </c>
      <c r="L319" s="5">
        <v>1</v>
      </c>
      <c r="M319" s="5">
        <v>1</v>
      </c>
      <c r="N319" s="5">
        <v>1</v>
      </c>
      <c r="O319" s="5">
        <v>1</v>
      </c>
      <c r="P319" s="5">
        <v>1</v>
      </c>
      <c r="Q319" s="5">
        <v>1</v>
      </c>
      <c r="R319" s="5">
        <v>1</v>
      </c>
      <c r="S319" cm="1">
        <f t="array" ref="S319">GetLatitude(U319)</f>
        <v>33.7143491</v>
      </c>
      <c r="T319" cm="1">
        <f t="array" ref="T319">GetLongitude(U319)</f>
        <v>73.133347999999998</v>
      </c>
      <c r="U319" t="str">
        <f t="shared" si="12"/>
        <v>Bird Aviary, Islamabad, PK</v>
      </c>
      <c r="V319" t="str" cm="1">
        <f t="array" ref="V319">GetCoordinates(U319)</f>
        <v>33.7143491, 73.1333480</v>
      </c>
      <c r="W319" s="13" cm="1">
        <f t="array" ref="W319">TravelTime(A319,U319,AB319)</f>
        <v>16792</v>
      </c>
      <c r="X319" s="13">
        <f t="shared" si="13"/>
        <v>279.86666666666667</v>
      </c>
      <c r="Y319" s="13" cm="1">
        <f t="array" ref="Y319">TravelDistance(A319,U319,AB319)</f>
        <v>386235</v>
      </c>
      <c r="Z319" s="13" t="str">
        <f t="shared" si="14"/>
        <v>386.24km</v>
      </c>
      <c r="AA319" s="14" t="s">
        <v>361</v>
      </c>
      <c r="AB319" t="s">
        <v>355</v>
      </c>
    </row>
    <row r="320" spans="1:28" ht="15" x14ac:dyDescent="0.25">
      <c r="A320" s="2" t="s">
        <v>190</v>
      </c>
      <c r="B320" s="2" t="s">
        <v>18</v>
      </c>
      <c r="D320" s="3" t="s">
        <v>113</v>
      </c>
      <c r="E320" s="4" t="s">
        <v>21</v>
      </c>
      <c r="F320" s="4" t="s">
        <v>298</v>
      </c>
      <c r="G320" s="5">
        <v>1</v>
      </c>
      <c r="H320" s="5">
        <v>1</v>
      </c>
      <c r="I320" s="5">
        <v>1</v>
      </c>
      <c r="J320" s="5">
        <v>1</v>
      </c>
      <c r="K320" s="5">
        <v>1</v>
      </c>
      <c r="L320" s="5">
        <v>1</v>
      </c>
      <c r="M320" s="5">
        <v>1</v>
      </c>
      <c r="N320" s="5">
        <v>1</v>
      </c>
      <c r="O320" s="5">
        <v>1</v>
      </c>
      <c r="P320" s="5">
        <v>1</v>
      </c>
      <c r="Q320" s="5">
        <v>1</v>
      </c>
      <c r="R320" s="5">
        <v>1</v>
      </c>
      <c r="S320" cm="1">
        <f t="array" ref="S320">GetLatitude(U320)</f>
        <v>33.718888999999997</v>
      </c>
      <c r="T320" cm="1">
        <f t="array" ref="T320">GetLongitude(U320)</f>
        <v>73.340277999999998</v>
      </c>
      <c r="U320" t="str">
        <f t="shared" si="12"/>
        <v>Simly Dam, Islamabad, PK</v>
      </c>
      <c r="V320" t="str" cm="1">
        <f t="array" ref="V320">GetCoordinates(U320)</f>
        <v>33.7188890, 73.3402780</v>
      </c>
      <c r="W320" s="13" cm="1">
        <f t="array" ref="W320">TravelTime(A320,U320,AB320)</f>
        <v>19523</v>
      </c>
      <c r="X320" s="13">
        <f t="shared" si="13"/>
        <v>325.38333333333333</v>
      </c>
      <c r="Y320" s="13" cm="1">
        <f t="array" ref="Y320">TravelDistance(A320,U320,AB320)</f>
        <v>414089</v>
      </c>
      <c r="Z320" s="13" t="str">
        <f t="shared" si="14"/>
        <v>414.09km</v>
      </c>
      <c r="AA320" s="14" t="s">
        <v>361</v>
      </c>
      <c r="AB320" t="s">
        <v>355</v>
      </c>
    </row>
    <row r="321" spans="1:28" ht="15" x14ac:dyDescent="0.25">
      <c r="A321" s="2" t="s">
        <v>190</v>
      </c>
      <c r="B321" s="2" t="s">
        <v>18</v>
      </c>
      <c r="D321" s="3" t="s">
        <v>28</v>
      </c>
      <c r="E321" s="4" t="s">
        <v>29</v>
      </c>
      <c r="F321" s="4" t="s">
        <v>299</v>
      </c>
      <c r="G321" s="5">
        <v>1</v>
      </c>
      <c r="H321" s="5">
        <v>1</v>
      </c>
      <c r="I321" s="5">
        <v>1</v>
      </c>
      <c r="J321" s="5">
        <v>1</v>
      </c>
      <c r="K321" s="5">
        <v>1</v>
      </c>
      <c r="L321" s="5">
        <v>1</v>
      </c>
      <c r="M321" s="5">
        <v>1</v>
      </c>
      <c r="N321" s="5">
        <v>1</v>
      </c>
      <c r="O321" s="5">
        <v>1</v>
      </c>
      <c r="P321" s="5">
        <v>1</v>
      </c>
      <c r="Q321" s="5">
        <v>1</v>
      </c>
      <c r="R321" s="5">
        <v>1</v>
      </c>
      <c r="S321" cm="1">
        <f t="array" ref="S321">GetLatitude(U321)</f>
        <v>33.745429999999999</v>
      </c>
      <c r="T321" cm="1">
        <f t="array" ref="T321">GetLongitude(U321)</f>
        <v>73.111099199999998</v>
      </c>
      <c r="U321" t="str">
        <f t="shared" si="12"/>
        <v>Bari Imam Shrine, Islamabad, PK</v>
      </c>
      <c r="V321" t="str" cm="1">
        <f t="array" ref="V321">GetCoordinates(U321)</f>
        <v>33.7454300, 73.1110992</v>
      </c>
      <c r="W321" s="13" cm="1">
        <f t="array" ref="W321">TravelTime(A321,U321,AB321)</f>
        <v>17134</v>
      </c>
      <c r="X321" s="13">
        <f t="shared" si="13"/>
        <v>285.56666666666666</v>
      </c>
      <c r="Y321" s="13" cm="1">
        <f t="array" ref="Y321">TravelDistance(A321,U321,AB321)</f>
        <v>387277</v>
      </c>
      <c r="Z321" s="13" t="str">
        <f t="shared" si="14"/>
        <v>387.28km</v>
      </c>
      <c r="AA321" s="14" t="s">
        <v>361</v>
      </c>
      <c r="AB321" t="s">
        <v>355</v>
      </c>
    </row>
    <row r="322" spans="1:28" ht="15" x14ac:dyDescent="0.25">
      <c r="A322" s="2" t="s">
        <v>190</v>
      </c>
      <c r="B322" s="2" t="s">
        <v>18</v>
      </c>
      <c r="D322" s="3" t="s">
        <v>31</v>
      </c>
      <c r="E322" s="4" t="s">
        <v>21</v>
      </c>
      <c r="F322" s="4" t="s">
        <v>300</v>
      </c>
      <c r="G322" s="5">
        <v>1</v>
      </c>
      <c r="H322" s="5">
        <v>1</v>
      </c>
      <c r="I322" s="5">
        <v>1</v>
      </c>
      <c r="J322" s="5">
        <v>1</v>
      </c>
      <c r="K322" s="5">
        <v>1</v>
      </c>
      <c r="L322" s="5">
        <v>1</v>
      </c>
      <c r="M322" s="5">
        <v>1</v>
      </c>
      <c r="N322" s="5">
        <v>1</v>
      </c>
      <c r="O322" s="5">
        <v>1</v>
      </c>
      <c r="P322" s="5">
        <v>1</v>
      </c>
      <c r="Q322" s="5">
        <v>1</v>
      </c>
      <c r="R322" s="5">
        <v>1</v>
      </c>
      <c r="S322" cm="1">
        <f t="array" ref="S322">GetLatitude(U322)</f>
        <v>33.715497499999998</v>
      </c>
      <c r="T322" cm="1">
        <f t="array" ref="T322">GetLongitude(U322)</f>
        <v>73.130534900000001</v>
      </c>
      <c r="U322" t="str">
        <f t="shared" si="12"/>
        <v>Lake View Park, Islamabad, PK</v>
      </c>
      <c r="V322" t="str" cm="1">
        <f t="array" ref="V322">GetCoordinates(U322)</f>
        <v>33.7154975, 73.1305349</v>
      </c>
      <c r="W322" s="13" cm="1">
        <f t="array" ref="W322">TravelTime(A322,U322,AB322)</f>
        <v>16790</v>
      </c>
      <c r="X322" s="13">
        <f t="shared" si="13"/>
        <v>279.83333333333331</v>
      </c>
      <c r="Y322" s="13" cm="1">
        <f t="array" ref="Y322">TravelDistance(A322,U322,AB322)</f>
        <v>386288</v>
      </c>
      <c r="Z322" s="13" t="str">
        <f t="shared" si="14"/>
        <v>386.29km</v>
      </c>
      <c r="AA322" s="14" t="s">
        <v>361</v>
      </c>
      <c r="AB322" t="s">
        <v>355</v>
      </c>
    </row>
    <row r="323" spans="1:28" ht="15" x14ac:dyDescent="0.25">
      <c r="A323" s="2" t="s">
        <v>190</v>
      </c>
      <c r="B323" s="2" t="s">
        <v>18</v>
      </c>
      <c r="D323" s="3" t="s">
        <v>82</v>
      </c>
      <c r="E323" s="4" t="s">
        <v>29</v>
      </c>
      <c r="F323" s="4" t="s">
        <v>301</v>
      </c>
      <c r="G323" s="5">
        <v>1</v>
      </c>
      <c r="H323" s="5">
        <v>1</v>
      </c>
      <c r="I323" s="5">
        <v>1</v>
      </c>
      <c r="J323" s="5">
        <v>1</v>
      </c>
      <c r="K323" s="5">
        <v>1</v>
      </c>
      <c r="L323" s="5">
        <v>1</v>
      </c>
      <c r="M323" s="5">
        <v>1</v>
      </c>
      <c r="N323" s="5">
        <v>1</v>
      </c>
      <c r="O323" s="5">
        <v>1</v>
      </c>
      <c r="P323" s="5">
        <v>1</v>
      </c>
      <c r="Q323" s="5">
        <v>1</v>
      </c>
      <c r="R323" s="5">
        <v>1</v>
      </c>
      <c r="S323" cm="1">
        <f t="array" ref="S323">GetLatitude(U323)</f>
        <v>33.743888900000002</v>
      </c>
      <c r="T323" cm="1">
        <f t="array" ref="T323">GetLongitude(U323)</f>
        <v>73.0227778</v>
      </c>
      <c r="U323" t="str">
        <f t="shared" ref="U323:U386" si="15">F323&amp;", "&amp;B323&amp;", "&amp;AA323</f>
        <v>Margalla Hills, Islamabad, PK</v>
      </c>
      <c r="V323" t="str" cm="1">
        <f t="array" ref="V323">GetCoordinates(U323)</f>
        <v>33.7438889, 73.0227778</v>
      </c>
      <c r="W323" s="13" cm="1">
        <f t="array" ref="W323">TravelTime(A323,U323,AB323)</f>
        <v>16923</v>
      </c>
      <c r="X323" s="13">
        <f t="shared" ref="X323:X386" si="16">W323/60</f>
        <v>282.05</v>
      </c>
      <c r="Y323" s="13" cm="1">
        <f t="array" ref="Y323">TravelDistance(A323,U323,AB323)</f>
        <v>383153</v>
      </c>
      <c r="Z323" s="13" t="str">
        <f t="shared" ref="Z323:Z386" si="17">ROUND(Y323/1000,2)&amp;"km"</f>
        <v>383.15km</v>
      </c>
      <c r="AA323" s="14" t="s">
        <v>361</v>
      </c>
      <c r="AB323" t="s">
        <v>355</v>
      </c>
    </row>
    <row r="324" spans="1:28" ht="15" x14ac:dyDescent="0.25">
      <c r="A324" s="2" t="s">
        <v>190</v>
      </c>
      <c r="B324" s="2" t="s">
        <v>18</v>
      </c>
      <c r="D324" s="3" t="s">
        <v>113</v>
      </c>
      <c r="E324" s="4" t="s">
        <v>25</v>
      </c>
      <c r="F324" s="4" t="s">
        <v>302</v>
      </c>
      <c r="G324" s="5">
        <v>1</v>
      </c>
      <c r="H324" s="5">
        <v>1</v>
      </c>
      <c r="I324" s="5">
        <v>1</v>
      </c>
      <c r="J324" s="5">
        <v>1</v>
      </c>
      <c r="K324" s="5">
        <v>1</v>
      </c>
      <c r="L324" s="5">
        <v>1</v>
      </c>
      <c r="M324" s="5">
        <v>1</v>
      </c>
      <c r="N324" s="5">
        <v>1</v>
      </c>
      <c r="O324" s="5">
        <v>1</v>
      </c>
      <c r="P324" s="5">
        <v>1</v>
      </c>
      <c r="Q324" s="5">
        <v>1</v>
      </c>
      <c r="R324" s="5">
        <v>1</v>
      </c>
      <c r="S324" cm="1">
        <f t="array" ref="S324">GetLatitude(U324)</f>
        <v>33.752493700000002</v>
      </c>
      <c r="T324" cm="1">
        <f t="array" ref="T324">GetLongitude(U324)</f>
        <v>73.0855909</v>
      </c>
      <c r="U324" t="str">
        <f t="shared" si="15"/>
        <v>Trail 5, Islamabad, PK</v>
      </c>
      <c r="V324" t="str" cm="1">
        <f t="array" ref="V324">GetCoordinates(U324)</f>
        <v>33.7524937, 73.0855909</v>
      </c>
      <c r="W324" s="13" cm="1">
        <f t="array" ref="W324">TravelTime(A324,U324,AB324)</f>
        <v>17354</v>
      </c>
      <c r="X324" s="13">
        <f t="shared" si="16"/>
        <v>289.23333333333335</v>
      </c>
      <c r="Y324" s="13" cm="1">
        <f t="array" ref="Y324">TravelDistance(A324,U324,AB324)</f>
        <v>389097</v>
      </c>
      <c r="Z324" s="13" t="str">
        <f t="shared" si="17"/>
        <v>389.1km</v>
      </c>
      <c r="AA324" s="14" t="s">
        <v>361</v>
      </c>
      <c r="AB324" t="s">
        <v>355</v>
      </c>
    </row>
    <row r="325" spans="1:28" ht="15" x14ac:dyDescent="0.25">
      <c r="A325" s="2" t="s">
        <v>190</v>
      </c>
      <c r="B325" s="2" t="s">
        <v>18</v>
      </c>
      <c r="D325" s="3" t="s">
        <v>28</v>
      </c>
      <c r="E325" s="4" t="s">
        <v>36</v>
      </c>
      <c r="F325" s="4" t="s">
        <v>303</v>
      </c>
      <c r="G325" s="5">
        <v>1</v>
      </c>
      <c r="H325" s="5">
        <v>1</v>
      </c>
      <c r="I325" s="5">
        <v>1</v>
      </c>
      <c r="J325" s="5">
        <v>1</v>
      </c>
      <c r="K325" s="5">
        <v>1</v>
      </c>
      <c r="L325" s="5">
        <v>1</v>
      </c>
      <c r="M325" s="5">
        <v>1</v>
      </c>
      <c r="N325" s="5">
        <v>1</v>
      </c>
      <c r="O325" s="5">
        <v>1</v>
      </c>
      <c r="P325" s="5">
        <v>1</v>
      </c>
      <c r="Q325" s="5">
        <v>1</v>
      </c>
      <c r="R325" s="5">
        <v>1</v>
      </c>
      <c r="S325" cm="1">
        <f t="array" ref="S325">GetLatitude(U325)</f>
        <v>33.520887999999999</v>
      </c>
      <c r="T325" cm="1">
        <f t="array" ref="T325">GetLongitude(U325)</f>
        <v>73.157721899999999</v>
      </c>
      <c r="U325" t="str">
        <f t="shared" si="15"/>
        <v>Giga Mall, Islamabad, PK</v>
      </c>
      <c r="V325" t="str" cm="1">
        <f t="array" ref="V325">GetCoordinates(U325)</f>
        <v>33.5208880, 73.1577219</v>
      </c>
      <c r="W325" s="13" cm="1">
        <f t="array" ref="W325">TravelTime(A325,U325,AB325)</f>
        <v>17427</v>
      </c>
      <c r="X325" s="13">
        <f t="shared" si="16"/>
        <v>290.45</v>
      </c>
      <c r="Y325" s="13" cm="1">
        <f t="array" ref="Y325">TravelDistance(A325,U325,AB325)</f>
        <v>382527</v>
      </c>
      <c r="Z325" s="13" t="str">
        <f t="shared" si="17"/>
        <v>382.53km</v>
      </c>
      <c r="AA325" s="14" t="s">
        <v>361</v>
      </c>
      <c r="AB325" t="s">
        <v>355</v>
      </c>
    </row>
    <row r="326" spans="1:28" ht="15" x14ac:dyDescent="0.25">
      <c r="A326" s="2" t="s">
        <v>190</v>
      </c>
      <c r="B326" s="2" t="s">
        <v>18</v>
      </c>
      <c r="D326" s="3" t="s">
        <v>31</v>
      </c>
      <c r="E326" s="4" t="s">
        <v>21</v>
      </c>
      <c r="F326" s="4" t="s">
        <v>304</v>
      </c>
      <c r="G326" s="5">
        <v>1</v>
      </c>
      <c r="H326" s="5">
        <v>1</v>
      </c>
      <c r="I326" s="5">
        <v>1</v>
      </c>
      <c r="J326" s="5">
        <v>1</v>
      </c>
      <c r="K326" s="5">
        <v>1</v>
      </c>
      <c r="L326" s="5">
        <v>1</v>
      </c>
      <c r="M326" s="5">
        <v>1</v>
      </c>
      <c r="N326" s="5">
        <v>1</v>
      </c>
      <c r="O326" s="5">
        <v>1</v>
      </c>
      <c r="P326" s="5">
        <v>1</v>
      </c>
      <c r="Q326" s="5">
        <v>1</v>
      </c>
      <c r="R326" s="5">
        <v>1</v>
      </c>
      <c r="S326" cm="1">
        <f t="array" ref="S326">GetLatitude(U326)</f>
        <v>33.702662500000002</v>
      </c>
      <c r="T326" cm="1">
        <f t="array" ref="T326">GetLongitude(U326)</f>
        <v>73.126109099999994</v>
      </c>
      <c r="U326" t="str">
        <f t="shared" si="15"/>
        <v>Rawal Lake, Islamabad, PK</v>
      </c>
      <c r="V326" t="str" cm="1">
        <f t="array" ref="V326">GetCoordinates(U326)</f>
        <v>33.7026625, 73.1261091</v>
      </c>
      <c r="W326" s="13" cm="1">
        <f t="array" ref="W326">TravelTime(A326,U326,AB326)</f>
        <v>16811</v>
      </c>
      <c r="X326" s="13">
        <f t="shared" si="16"/>
        <v>280.18333333333334</v>
      </c>
      <c r="Y326" s="13" cm="1">
        <f t="array" ref="Y326">TravelDistance(A326,U326,AB326)</f>
        <v>387385</v>
      </c>
      <c r="Z326" s="13" t="str">
        <f t="shared" si="17"/>
        <v>387.39km</v>
      </c>
      <c r="AA326" s="14" t="s">
        <v>361</v>
      </c>
      <c r="AB326" t="s">
        <v>355</v>
      </c>
    </row>
    <row r="327" spans="1:28" ht="15" x14ac:dyDescent="0.25">
      <c r="A327" s="2" t="s">
        <v>190</v>
      </c>
      <c r="B327" s="2" t="s">
        <v>18</v>
      </c>
      <c r="D327" s="3" t="s">
        <v>31</v>
      </c>
      <c r="E327" s="4" t="s">
        <v>21</v>
      </c>
      <c r="F327" s="4" t="s">
        <v>305</v>
      </c>
      <c r="G327" s="5">
        <v>1</v>
      </c>
      <c r="H327" s="5">
        <v>1</v>
      </c>
      <c r="I327" s="5">
        <v>1</v>
      </c>
      <c r="J327" s="5">
        <v>1</v>
      </c>
      <c r="K327" s="5">
        <v>1</v>
      </c>
      <c r="L327" s="5">
        <v>1</v>
      </c>
      <c r="M327" s="5">
        <v>1</v>
      </c>
      <c r="N327" s="5">
        <v>1</v>
      </c>
      <c r="O327" s="5">
        <v>1</v>
      </c>
      <c r="P327" s="5">
        <v>1</v>
      </c>
      <c r="Q327" s="5">
        <v>1</v>
      </c>
      <c r="R327" s="5">
        <v>1</v>
      </c>
      <c r="S327" cm="1">
        <f t="array" ref="S327">GetLatitude(U327)</f>
        <v>33.744932499999997</v>
      </c>
      <c r="T327" cm="1">
        <f t="array" ref="T327">GetLongitude(U327)</f>
        <v>73.056829199999996</v>
      </c>
      <c r="U327" t="str">
        <f t="shared" si="15"/>
        <v>Pir Sohawa, Islamabad, PK</v>
      </c>
      <c r="V327" t="str" cm="1">
        <f t="array" ref="V327">GetCoordinates(U327)</f>
        <v>33.7449325, 73.0568292</v>
      </c>
      <c r="W327" s="13" cm="1">
        <f t="array" ref="W327">TravelTime(A327,U327,AB327)</f>
        <v>16905</v>
      </c>
      <c r="X327" s="13">
        <f t="shared" si="16"/>
        <v>281.75</v>
      </c>
      <c r="Y327" s="13" cm="1">
        <f t="array" ref="Y327">TravelDistance(A327,U327,AB327)</f>
        <v>388567</v>
      </c>
      <c r="Z327" s="13" t="str">
        <f t="shared" si="17"/>
        <v>388.57km</v>
      </c>
      <c r="AA327" s="14" t="s">
        <v>361</v>
      </c>
      <c r="AB327" t="s">
        <v>355</v>
      </c>
    </row>
    <row r="328" spans="1:28" ht="15" x14ac:dyDescent="0.25">
      <c r="A328" s="2" t="s">
        <v>190</v>
      </c>
      <c r="B328" s="2" t="s">
        <v>18</v>
      </c>
      <c r="D328" s="3" t="s">
        <v>28</v>
      </c>
      <c r="E328" s="4" t="s">
        <v>103</v>
      </c>
      <c r="F328" s="4" t="s">
        <v>306</v>
      </c>
      <c r="G328" s="5">
        <v>1</v>
      </c>
      <c r="H328" s="5">
        <v>1</v>
      </c>
      <c r="I328" s="5">
        <v>1</v>
      </c>
      <c r="J328" s="5">
        <v>1</v>
      </c>
      <c r="K328" s="5">
        <v>1</v>
      </c>
      <c r="L328" s="5">
        <v>1</v>
      </c>
      <c r="M328" s="5">
        <v>1</v>
      </c>
      <c r="N328" s="5">
        <v>1</v>
      </c>
      <c r="O328" s="5">
        <v>1</v>
      </c>
      <c r="P328" s="5">
        <v>1</v>
      </c>
      <c r="Q328" s="5">
        <v>1</v>
      </c>
      <c r="R328" s="5">
        <v>1</v>
      </c>
      <c r="S328" cm="1">
        <f t="array" ref="S328">GetLatitude(U328)</f>
        <v>33.670533200000001</v>
      </c>
      <c r="T328" cm="1">
        <f t="array" ref="T328">GetLongitude(U328)</f>
        <v>72.947616400000001</v>
      </c>
      <c r="U328" t="str">
        <f t="shared" si="15"/>
        <v>Pakistan Railways Heritage Museum, Islamabad, PK</v>
      </c>
      <c r="V328" t="str" cm="1">
        <f t="array" ref="V328">GetCoordinates(U328)</f>
        <v>33.6705332, 72.9476164</v>
      </c>
      <c r="W328" s="13" cm="1">
        <f t="array" ref="W328">TravelTime(A328,U328,AB328)</f>
        <v>15687</v>
      </c>
      <c r="X328" s="13">
        <f t="shared" si="16"/>
        <v>261.45</v>
      </c>
      <c r="Y328" s="13" cm="1">
        <f t="array" ref="Y328">TravelDistance(A328,U328,AB328)</f>
        <v>371071</v>
      </c>
      <c r="Z328" s="13" t="str">
        <f t="shared" si="17"/>
        <v>371.07km</v>
      </c>
      <c r="AA328" s="14" t="s">
        <v>361</v>
      </c>
      <c r="AB328" t="s">
        <v>355</v>
      </c>
    </row>
    <row r="329" spans="1:28" ht="15" x14ac:dyDescent="0.25">
      <c r="A329" s="2" t="s">
        <v>190</v>
      </c>
      <c r="B329" s="2" t="s">
        <v>18</v>
      </c>
      <c r="D329" s="3" t="s">
        <v>28</v>
      </c>
      <c r="E329" s="4" t="s">
        <v>29</v>
      </c>
      <c r="F329" s="4" t="s">
        <v>307</v>
      </c>
      <c r="G329" s="5">
        <v>1</v>
      </c>
      <c r="H329" s="5">
        <v>1</v>
      </c>
      <c r="I329" s="5">
        <v>1</v>
      </c>
      <c r="J329" s="5">
        <v>1</v>
      </c>
      <c r="K329" s="5">
        <v>1</v>
      </c>
      <c r="L329" s="5">
        <v>1</v>
      </c>
      <c r="M329" s="5">
        <v>1</v>
      </c>
      <c r="N329" s="5">
        <v>1</v>
      </c>
      <c r="O329" s="5">
        <v>1</v>
      </c>
      <c r="P329" s="5">
        <v>1</v>
      </c>
      <c r="Q329" s="5">
        <v>1</v>
      </c>
      <c r="R329" s="5">
        <v>1</v>
      </c>
      <c r="S329" cm="1">
        <f t="array" ref="S329">GetLatitude(U329)</f>
        <v>33.697233400000002</v>
      </c>
      <c r="T329" cm="1">
        <f t="array" ref="T329">GetLongitude(U329)</f>
        <v>73.085246600000005</v>
      </c>
      <c r="U329" t="str">
        <f t="shared" si="15"/>
        <v>Pak China Friendship Center, Islamabad, PK</v>
      </c>
      <c r="V329" t="str" cm="1">
        <f t="array" ref="V329">GetCoordinates(U329)</f>
        <v>33.6972334, 73.0852466</v>
      </c>
      <c r="W329" s="13" cm="1">
        <f t="array" ref="W329">TravelTime(A329,U329,AB329)</f>
        <v>16256</v>
      </c>
      <c r="X329" s="13">
        <f t="shared" si="16"/>
        <v>270.93333333333334</v>
      </c>
      <c r="Y329" s="13" cm="1">
        <f t="array" ref="Y329">TravelDistance(A329,U329,AB329)</f>
        <v>380933</v>
      </c>
      <c r="Z329" s="13" t="str">
        <f t="shared" si="17"/>
        <v>380.93km</v>
      </c>
      <c r="AA329" s="14" t="s">
        <v>361</v>
      </c>
      <c r="AB329" t="s">
        <v>355</v>
      </c>
    </row>
    <row r="330" spans="1:28" ht="15" x14ac:dyDescent="0.25">
      <c r="A330" s="2" t="s">
        <v>190</v>
      </c>
      <c r="B330" s="2" t="s">
        <v>18</v>
      </c>
      <c r="D330" s="3" t="s">
        <v>92</v>
      </c>
      <c r="E330" s="4" t="s">
        <v>308</v>
      </c>
      <c r="F330" s="4" t="s">
        <v>309</v>
      </c>
      <c r="G330" s="5">
        <v>1</v>
      </c>
      <c r="H330" s="5">
        <v>1</v>
      </c>
      <c r="I330" s="5">
        <v>1</v>
      </c>
      <c r="J330" s="5">
        <v>1</v>
      </c>
      <c r="K330" s="5">
        <v>1</v>
      </c>
      <c r="L330" s="5">
        <v>1</v>
      </c>
      <c r="M330" s="5">
        <v>1</v>
      </c>
      <c r="N330" s="5">
        <v>1</v>
      </c>
      <c r="O330" s="5">
        <v>1</v>
      </c>
      <c r="P330" s="5">
        <v>1</v>
      </c>
      <c r="Q330" s="5">
        <v>1</v>
      </c>
      <c r="R330" s="5">
        <v>1</v>
      </c>
      <c r="S330" cm="1">
        <f t="array" ref="S330">GetLatitude(U330)</f>
        <v>33.686951499999999</v>
      </c>
      <c r="T330" cm="1">
        <f t="array" ref="T330">GetLongitude(U330)</f>
        <v>73.211039900000003</v>
      </c>
      <c r="U330" t="str">
        <f t="shared" si="15"/>
        <v>Bahria Enclave Zoo, Islamabad, PK</v>
      </c>
      <c r="V330" t="str" cm="1">
        <f t="array" ref="V330">GetCoordinates(U330)</f>
        <v>33.6869515, 73.2110399</v>
      </c>
      <c r="W330" s="13" cm="1">
        <f t="array" ref="W330">TravelTime(A330,U330,AB330)</f>
        <v>17572</v>
      </c>
      <c r="X330" s="13">
        <f t="shared" si="16"/>
        <v>292.86666666666667</v>
      </c>
      <c r="Y330" s="13" cm="1">
        <f t="array" ref="Y330">TravelDistance(A330,U330,AB330)</f>
        <v>398196</v>
      </c>
      <c r="Z330" s="13" t="str">
        <f t="shared" si="17"/>
        <v>398.2km</v>
      </c>
      <c r="AA330" s="14" t="s">
        <v>361</v>
      </c>
      <c r="AB330" t="s">
        <v>355</v>
      </c>
    </row>
    <row r="331" spans="1:28" ht="15" x14ac:dyDescent="0.25">
      <c r="A331" s="2" t="s">
        <v>190</v>
      </c>
      <c r="B331" s="2" t="s">
        <v>18</v>
      </c>
      <c r="D331" s="3" t="s">
        <v>28</v>
      </c>
      <c r="E331" s="4" t="s">
        <v>103</v>
      </c>
      <c r="F331" s="4" t="s">
        <v>310</v>
      </c>
      <c r="G331" s="5">
        <v>1</v>
      </c>
      <c r="H331" s="5">
        <v>1</v>
      </c>
      <c r="I331" s="5">
        <v>1</v>
      </c>
      <c r="J331" s="5">
        <v>1</v>
      </c>
      <c r="K331" s="5">
        <v>1</v>
      </c>
      <c r="L331" s="5">
        <v>1</v>
      </c>
      <c r="M331" s="5">
        <v>1</v>
      </c>
      <c r="N331" s="5">
        <v>1</v>
      </c>
      <c r="O331" s="5">
        <v>1</v>
      </c>
      <c r="P331" s="5">
        <v>1</v>
      </c>
      <c r="Q331" s="5">
        <v>1</v>
      </c>
      <c r="R331" s="5">
        <v>1</v>
      </c>
      <c r="S331" cm="1">
        <f t="array" ref="S331">GetLatitude(U331)</f>
        <v>33.6926737</v>
      </c>
      <c r="T331" cm="1">
        <f t="array" ref="T331">GetLongitude(U331)</f>
        <v>73.069299900000004</v>
      </c>
      <c r="U331" t="str">
        <f t="shared" si="15"/>
        <v>Pakistan Monument Museum, Islamabad, PK</v>
      </c>
      <c r="V331" t="str" cm="1">
        <f t="array" ref="V331">GetCoordinates(U331)</f>
        <v>33.6926737, 73.0692999</v>
      </c>
      <c r="W331" s="13" cm="1">
        <f t="array" ref="W331">TravelTime(A331,U331,AB331)</f>
        <v>16402</v>
      </c>
      <c r="X331" s="13">
        <f t="shared" si="16"/>
        <v>273.36666666666667</v>
      </c>
      <c r="Y331" s="13" cm="1">
        <f t="array" ref="Y331">TravelDistance(A331,U331,AB331)</f>
        <v>383219</v>
      </c>
      <c r="Z331" s="13" t="str">
        <f t="shared" si="17"/>
        <v>383.22km</v>
      </c>
      <c r="AA331" s="14" t="s">
        <v>361</v>
      </c>
      <c r="AB331" t="s">
        <v>355</v>
      </c>
    </row>
    <row r="332" spans="1:28" ht="15" x14ac:dyDescent="0.25">
      <c r="A332" s="2" t="s">
        <v>190</v>
      </c>
      <c r="B332" s="2" t="s">
        <v>18</v>
      </c>
      <c r="D332" s="3" t="s">
        <v>28</v>
      </c>
      <c r="E332" s="4" t="s">
        <v>29</v>
      </c>
      <c r="F332" s="4" t="s">
        <v>311</v>
      </c>
      <c r="G332" s="5">
        <v>1</v>
      </c>
      <c r="H332" s="5">
        <v>1</v>
      </c>
      <c r="I332" s="5">
        <v>1</v>
      </c>
      <c r="J332" s="5">
        <v>1</v>
      </c>
      <c r="K332" s="5">
        <v>1</v>
      </c>
      <c r="L332" s="5">
        <v>1</v>
      </c>
      <c r="M332" s="5">
        <v>1</v>
      </c>
      <c r="N332" s="5">
        <v>1</v>
      </c>
      <c r="O332" s="5">
        <v>1</v>
      </c>
      <c r="P332" s="5">
        <v>1</v>
      </c>
      <c r="Q332" s="5">
        <v>1</v>
      </c>
      <c r="R332" s="5">
        <v>1</v>
      </c>
      <c r="S332" cm="1">
        <f t="array" ref="S332">GetLatitude(U332)</f>
        <v>33.729898800000001</v>
      </c>
      <c r="T332" cm="1">
        <f t="array" ref="T332">GetLongitude(U332)</f>
        <v>73.038274900000005</v>
      </c>
      <c r="U332" t="str">
        <f t="shared" si="15"/>
        <v>Faisal Mosque, Islamabad, PK</v>
      </c>
      <c r="V332" t="str" cm="1">
        <f t="array" ref="V332">GetCoordinates(U332)</f>
        <v>33.7298988, 73.0382749</v>
      </c>
      <c r="W332" s="13" cm="1">
        <f t="array" ref="W332">TravelTime(A332,U332,AB332)</f>
        <v>16397</v>
      </c>
      <c r="X332" s="13">
        <f t="shared" si="16"/>
        <v>273.28333333333336</v>
      </c>
      <c r="Y332" s="13" cm="1">
        <f t="array" ref="Y332">TravelDistance(A332,U332,AB332)</f>
        <v>382894</v>
      </c>
      <c r="Z332" s="13" t="str">
        <f t="shared" si="17"/>
        <v>382.89km</v>
      </c>
      <c r="AA332" s="14" t="s">
        <v>361</v>
      </c>
      <c r="AB332" t="s">
        <v>355</v>
      </c>
    </row>
    <row r="333" spans="1:28" ht="15" x14ac:dyDescent="0.25">
      <c r="A333" s="2" t="s">
        <v>190</v>
      </c>
      <c r="B333" s="2" t="s">
        <v>18</v>
      </c>
      <c r="D333" s="3" t="s">
        <v>92</v>
      </c>
      <c r="E333" s="4" t="s">
        <v>21</v>
      </c>
      <c r="F333" s="4" t="s">
        <v>312</v>
      </c>
      <c r="G333" s="5">
        <v>1</v>
      </c>
      <c r="H333" s="5">
        <v>1</v>
      </c>
      <c r="I333" s="5">
        <v>1</v>
      </c>
      <c r="J333" s="5">
        <v>1</v>
      </c>
      <c r="K333" s="5">
        <v>1</v>
      </c>
      <c r="L333" s="5">
        <v>1</v>
      </c>
      <c r="M333" s="5">
        <v>1</v>
      </c>
      <c r="N333" s="5">
        <v>1</v>
      </c>
      <c r="O333" s="5">
        <v>1</v>
      </c>
      <c r="P333" s="5">
        <v>1</v>
      </c>
      <c r="Q333" s="5">
        <v>1</v>
      </c>
      <c r="R333" s="5">
        <v>1</v>
      </c>
      <c r="S333" cm="1">
        <f t="array" ref="S333">GetLatitude(U333)</f>
        <v>33.732970600000002</v>
      </c>
      <c r="T333" cm="1">
        <f t="array" ref="T333">GetLongitude(U333)</f>
        <v>73.058826499999995</v>
      </c>
      <c r="U333" t="str">
        <f t="shared" si="15"/>
        <v>Islamabad Zoo, Islamabad, PK</v>
      </c>
      <c r="V333" t="str" cm="1">
        <f t="array" ref="V333">GetCoordinates(U333)</f>
        <v>33.7329706, 73.0588265</v>
      </c>
      <c r="W333" s="13" cm="1">
        <f t="array" ref="W333">TravelTime(A333,U333,AB333)</f>
        <v>16424</v>
      </c>
      <c r="X333" s="13">
        <f t="shared" si="16"/>
        <v>273.73333333333335</v>
      </c>
      <c r="Y333" s="13" cm="1">
        <f t="array" ref="Y333">TravelDistance(A333,U333,AB333)</f>
        <v>383958</v>
      </c>
      <c r="Z333" s="13" t="str">
        <f t="shared" si="17"/>
        <v>383.96km</v>
      </c>
      <c r="AA333" s="14" t="s">
        <v>361</v>
      </c>
      <c r="AB333" t="s">
        <v>355</v>
      </c>
    </row>
    <row r="334" spans="1:28" ht="15" x14ac:dyDescent="0.25">
      <c r="A334" s="2" t="s">
        <v>190</v>
      </c>
      <c r="B334" s="2" t="s">
        <v>18</v>
      </c>
      <c r="D334" s="3" t="s">
        <v>313</v>
      </c>
      <c r="E334" s="4" t="s">
        <v>29</v>
      </c>
      <c r="F334" s="4" t="s">
        <v>314</v>
      </c>
      <c r="G334" s="5">
        <v>1</v>
      </c>
      <c r="H334" s="5">
        <v>1</v>
      </c>
      <c r="I334" s="5">
        <v>1</v>
      </c>
      <c r="J334" s="5">
        <v>1</v>
      </c>
      <c r="K334" s="5">
        <v>1</v>
      </c>
      <c r="L334" s="5">
        <v>1</v>
      </c>
      <c r="M334" s="5">
        <v>1</v>
      </c>
      <c r="N334" s="5">
        <v>1</v>
      </c>
      <c r="O334" s="5">
        <v>1</v>
      </c>
      <c r="P334" s="5">
        <v>1</v>
      </c>
      <c r="Q334" s="5">
        <v>1</v>
      </c>
      <c r="R334" s="5">
        <v>1</v>
      </c>
      <c r="S334" cm="1">
        <f t="array" ref="S334">GetLatitude(U334)</f>
        <v>33.742655200000002</v>
      </c>
      <c r="T334" cm="1">
        <f t="array" ref="T334">GetLongitude(U334)</f>
        <v>73.067828700000007</v>
      </c>
      <c r="U334" t="str">
        <f t="shared" si="15"/>
        <v>Saidpur Village, Islamabad, PK</v>
      </c>
      <c r="V334" t="str" cm="1">
        <f t="array" ref="V334">GetCoordinates(U334)</f>
        <v>33.7426552, 73.0678287</v>
      </c>
      <c r="W334" s="13" cm="1">
        <f t="array" ref="W334">TravelTime(A334,U334,AB334)</f>
        <v>16580</v>
      </c>
      <c r="X334" s="13">
        <f t="shared" si="16"/>
        <v>276.33333333333331</v>
      </c>
      <c r="Y334" s="13" cm="1">
        <f t="array" ref="Y334">TravelDistance(A334,U334,AB334)</f>
        <v>385102</v>
      </c>
      <c r="Z334" s="13" t="str">
        <f t="shared" si="17"/>
        <v>385.1km</v>
      </c>
      <c r="AA334" s="14" t="s">
        <v>361</v>
      </c>
      <c r="AB334" t="s">
        <v>355</v>
      </c>
    </row>
    <row r="335" spans="1:28" ht="15" x14ac:dyDescent="0.25">
      <c r="A335" s="2" t="s">
        <v>190</v>
      </c>
      <c r="B335" s="2" t="s">
        <v>18</v>
      </c>
      <c r="D335" s="3" t="s">
        <v>28</v>
      </c>
      <c r="E335" s="4" t="s">
        <v>36</v>
      </c>
      <c r="F335" s="4" t="s">
        <v>315</v>
      </c>
      <c r="G335" s="5">
        <v>1</v>
      </c>
      <c r="H335" s="5">
        <v>1</v>
      </c>
      <c r="I335" s="5">
        <v>1</v>
      </c>
      <c r="J335" s="5">
        <v>1</v>
      </c>
      <c r="K335" s="5">
        <v>1</v>
      </c>
      <c r="L335" s="5">
        <v>1</v>
      </c>
      <c r="M335" s="5">
        <v>1</v>
      </c>
      <c r="N335" s="5">
        <v>1</v>
      </c>
      <c r="O335" s="5">
        <v>1</v>
      </c>
      <c r="P335" s="5">
        <v>1</v>
      </c>
      <c r="Q335" s="5">
        <v>1</v>
      </c>
      <c r="R335" s="5">
        <v>1</v>
      </c>
      <c r="S335" cm="1">
        <f t="array" ref="S335">GetLatitude(U335)</f>
        <v>33.720326200000002</v>
      </c>
      <c r="T335" cm="1">
        <f t="array" ref="T335">GetLongitude(U335)</f>
        <v>73.055562100000003</v>
      </c>
      <c r="U335" t="str">
        <f t="shared" si="15"/>
        <v>Safa Gold Mall, Islamabad, PK</v>
      </c>
      <c r="V335" t="str" cm="1">
        <f t="array" ref="V335">GetCoordinates(U335)</f>
        <v>33.7203262, 73.0555621</v>
      </c>
      <c r="W335" s="13" cm="1">
        <f t="array" ref="W335">TravelTime(A335,U335,AB335)</f>
        <v>16324</v>
      </c>
      <c r="X335" s="13">
        <f t="shared" si="16"/>
        <v>272.06666666666666</v>
      </c>
      <c r="Y335" s="13" cm="1">
        <f t="array" ref="Y335">TravelDistance(A335,U335,AB335)</f>
        <v>382264</v>
      </c>
      <c r="Z335" s="13" t="str">
        <f t="shared" si="17"/>
        <v>382.26km</v>
      </c>
      <c r="AA335" s="14" t="s">
        <v>361</v>
      </c>
      <c r="AB335" t="s">
        <v>355</v>
      </c>
    </row>
    <row r="336" spans="1:28" ht="15" x14ac:dyDescent="0.25">
      <c r="A336" s="2" t="s">
        <v>190</v>
      </c>
      <c r="B336" s="2" t="s">
        <v>18</v>
      </c>
      <c r="D336" s="3" t="s">
        <v>92</v>
      </c>
      <c r="E336" s="4" t="s">
        <v>21</v>
      </c>
      <c r="F336" s="4" t="s">
        <v>316</v>
      </c>
      <c r="G336" s="5">
        <v>1</v>
      </c>
      <c r="H336" s="5">
        <v>1</v>
      </c>
      <c r="I336" s="5">
        <v>1</v>
      </c>
      <c r="J336" s="5">
        <v>1</v>
      </c>
      <c r="K336" s="5">
        <v>1</v>
      </c>
      <c r="L336" s="5">
        <v>1</v>
      </c>
      <c r="M336" s="5">
        <v>1</v>
      </c>
      <c r="N336" s="5">
        <v>1</v>
      </c>
      <c r="O336" s="5">
        <v>1</v>
      </c>
      <c r="P336" s="5">
        <v>1</v>
      </c>
      <c r="Q336" s="5">
        <v>1</v>
      </c>
      <c r="R336" s="5">
        <v>1</v>
      </c>
      <c r="S336" cm="1">
        <f t="array" ref="S336">GetLatitude(U336)</f>
        <v>33.701515399999998</v>
      </c>
      <c r="T336" cm="1">
        <f t="array" ref="T336">GetLongitude(U336)</f>
        <v>73.088427100000004</v>
      </c>
      <c r="U336" t="str">
        <f t="shared" si="15"/>
        <v>Rose and Jasmine Garden, Islamabad, PK</v>
      </c>
      <c r="V336" t="str" cm="1">
        <f t="array" ref="V336">GetCoordinates(U336)</f>
        <v>33.7015154, 73.0884271</v>
      </c>
      <c r="W336" s="13" cm="1">
        <f t="array" ref="W336">TravelTime(A336,U336,AB336)</f>
        <v>16253</v>
      </c>
      <c r="X336" s="13">
        <f t="shared" si="16"/>
        <v>270.88333333333333</v>
      </c>
      <c r="Y336" s="13" cm="1">
        <f t="array" ref="Y336">TravelDistance(A336,U336,AB336)</f>
        <v>380876</v>
      </c>
      <c r="Z336" s="13" t="str">
        <f t="shared" si="17"/>
        <v>380.88km</v>
      </c>
      <c r="AA336" s="14" t="s">
        <v>361</v>
      </c>
      <c r="AB336" t="s">
        <v>355</v>
      </c>
    </row>
    <row r="337" spans="1:28" ht="15" x14ac:dyDescent="0.25">
      <c r="A337" s="2" t="s">
        <v>190</v>
      </c>
      <c r="B337" s="2" t="s">
        <v>18</v>
      </c>
      <c r="D337" s="3" t="s">
        <v>92</v>
      </c>
      <c r="E337" s="4" t="s">
        <v>21</v>
      </c>
      <c r="F337" s="4" t="s">
        <v>317</v>
      </c>
      <c r="G337" s="5">
        <v>1</v>
      </c>
      <c r="H337" s="5">
        <v>1</v>
      </c>
      <c r="I337" s="5">
        <v>1</v>
      </c>
      <c r="J337" s="5">
        <v>1</v>
      </c>
      <c r="K337" s="5">
        <v>1</v>
      </c>
      <c r="L337" s="5">
        <v>1</v>
      </c>
      <c r="M337" s="5">
        <v>1</v>
      </c>
      <c r="N337" s="5">
        <v>1</v>
      </c>
      <c r="O337" s="5">
        <v>1</v>
      </c>
      <c r="P337" s="5">
        <v>1</v>
      </c>
      <c r="Q337" s="5">
        <v>1</v>
      </c>
      <c r="R337" s="5">
        <v>1</v>
      </c>
      <c r="S337" cm="1">
        <f t="array" ref="S337">GetLatitude(U337)</f>
        <v>33.701830899999997</v>
      </c>
      <c r="T337" cm="1">
        <f t="array" ref="T337">GetLongitude(U337)</f>
        <v>73.022828599999997</v>
      </c>
      <c r="U337" t="str">
        <f t="shared" si="15"/>
        <v>Fatima Jinnah Park, Islamabad, PK</v>
      </c>
      <c r="V337" t="str" cm="1">
        <f t="array" ref="V337">GetCoordinates(U337)</f>
        <v>33.7018309, 73.0228286</v>
      </c>
      <c r="W337" s="13" cm="1">
        <f t="array" ref="W337">TravelTime(A337,U337,AB337)</f>
        <v>16087</v>
      </c>
      <c r="X337" s="13">
        <f t="shared" si="16"/>
        <v>268.11666666666667</v>
      </c>
      <c r="Y337" s="13" cm="1">
        <f t="array" ref="Y337">TravelDistance(A337,U337,AB337)</f>
        <v>377499</v>
      </c>
      <c r="Z337" s="13" t="str">
        <f t="shared" si="17"/>
        <v>377.5km</v>
      </c>
      <c r="AA337" s="14" t="s">
        <v>361</v>
      </c>
      <c r="AB337" t="s">
        <v>355</v>
      </c>
    </row>
    <row r="338" spans="1:28" ht="15" x14ac:dyDescent="0.25">
      <c r="A338" s="2" t="s">
        <v>190</v>
      </c>
      <c r="B338" s="6" t="s">
        <v>132</v>
      </c>
      <c r="D338" s="3" t="s">
        <v>117</v>
      </c>
      <c r="E338" s="4" t="s">
        <v>120</v>
      </c>
      <c r="F338" s="4" t="s">
        <v>133</v>
      </c>
      <c r="G338" s="5">
        <v>1</v>
      </c>
      <c r="H338" s="5">
        <v>1</v>
      </c>
      <c r="I338" s="5">
        <v>1</v>
      </c>
      <c r="J338" s="5">
        <v>1</v>
      </c>
      <c r="K338" s="5">
        <v>1</v>
      </c>
      <c r="L338" s="5">
        <v>1</v>
      </c>
      <c r="M338" s="5">
        <v>1</v>
      </c>
      <c r="N338" s="5">
        <v>1</v>
      </c>
      <c r="O338" s="5">
        <v>1</v>
      </c>
      <c r="P338" s="5">
        <v>1</v>
      </c>
      <c r="Q338" s="5">
        <v>1</v>
      </c>
      <c r="R338" s="5">
        <v>1</v>
      </c>
      <c r="S338" cm="1">
        <f t="array" ref="S338">GetLatitude(U338)</f>
        <v>32.964054300000001</v>
      </c>
      <c r="T338" cm="1">
        <f t="array" ref="T338">GetLongitude(U338)</f>
        <v>73.574447399999997</v>
      </c>
      <c r="U338" t="str">
        <f t="shared" si="15"/>
        <v>Rohtas Fort, Jehlum, PK</v>
      </c>
      <c r="V338" t="str" cm="1">
        <f t="array" ref="V338">GetCoordinates(U338)</f>
        <v>32.9640543, 73.5744474</v>
      </c>
      <c r="W338" s="13" cm="1">
        <f t="array" ref="W338">TravelTime(A338,U338,AB338)</f>
        <v>13944</v>
      </c>
      <c r="X338" s="13">
        <f t="shared" si="16"/>
        <v>232.4</v>
      </c>
      <c r="Y338" s="13" cm="1">
        <f t="array" ref="Y338">TravelDistance(A338,U338,AB338)</f>
        <v>243521</v>
      </c>
      <c r="Z338" s="13" t="str">
        <f t="shared" si="17"/>
        <v>243.52km</v>
      </c>
      <c r="AA338" s="14" t="s">
        <v>361</v>
      </c>
      <c r="AB338" t="s">
        <v>355</v>
      </c>
    </row>
    <row r="339" spans="1:28" ht="15" x14ac:dyDescent="0.25">
      <c r="A339" s="2" t="s">
        <v>190</v>
      </c>
      <c r="B339" s="6" t="s">
        <v>132</v>
      </c>
      <c r="D339" s="3" t="s">
        <v>117</v>
      </c>
      <c r="E339" s="4" t="s">
        <v>106</v>
      </c>
      <c r="F339" s="4" t="s">
        <v>134</v>
      </c>
      <c r="G339" s="5">
        <v>1</v>
      </c>
      <c r="H339" s="5">
        <v>1</v>
      </c>
      <c r="I339" s="5">
        <v>1</v>
      </c>
      <c r="J339" s="5">
        <v>1</v>
      </c>
      <c r="K339" s="5">
        <v>1</v>
      </c>
      <c r="L339" s="5">
        <v>1</v>
      </c>
      <c r="M339" s="5">
        <v>1</v>
      </c>
      <c r="N339" s="5">
        <v>1</v>
      </c>
      <c r="O339" s="5">
        <v>1</v>
      </c>
      <c r="P339" s="5">
        <v>1</v>
      </c>
      <c r="Q339" s="5">
        <v>1</v>
      </c>
      <c r="R339" s="5">
        <v>1</v>
      </c>
      <c r="S339" cm="1">
        <f t="array" ref="S339">GetLatitude(U339)</f>
        <v>32.647988900000001</v>
      </c>
      <c r="T339" cm="1">
        <f t="array" ref="T339">GetLongitude(U339)</f>
        <v>73.008407099999999</v>
      </c>
      <c r="U339" t="str">
        <f t="shared" si="15"/>
        <v>Khewra Salt Mine, Jehlum, PK</v>
      </c>
      <c r="V339" t="str" cm="1">
        <f t="array" ref="V339">GetCoordinates(U339)</f>
        <v>32.6479889, 73.0084071</v>
      </c>
      <c r="W339" s="13" cm="1">
        <f t="array" ref="W339">TravelTime(A339,U339,AB339)</f>
        <v>12122</v>
      </c>
      <c r="X339" s="13">
        <f t="shared" si="16"/>
        <v>202.03333333333333</v>
      </c>
      <c r="Y339" s="13" cm="1">
        <f t="array" ref="Y339">TravelDistance(A339,U339,AB339)</f>
        <v>248298</v>
      </c>
      <c r="Z339" s="13" t="str">
        <f t="shared" si="17"/>
        <v>248.3km</v>
      </c>
      <c r="AA339" s="14" t="s">
        <v>361</v>
      </c>
      <c r="AB339" t="s">
        <v>355</v>
      </c>
    </row>
    <row r="340" spans="1:28" ht="15" x14ac:dyDescent="0.25">
      <c r="A340" s="2" t="s">
        <v>190</v>
      </c>
      <c r="B340" s="2" t="s">
        <v>135</v>
      </c>
      <c r="D340" s="3" t="s">
        <v>31</v>
      </c>
      <c r="E340" s="4" t="s">
        <v>21</v>
      </c>
      <c r="F340" s="4" t="s">
        <v>136</v>
      </c>
      <c r="G340" s="5">
        <v>1</v>
      </c>
      <c r="H340" s="5">
        <v>1</v>
      </c>
      <c r="I340" s="5">
        <v>1</v>
      </c>
      <c r="J340" s="5">
        <v>1</v>
      </c>
      <c r="K340" s="5">
        <v>1</v>
      </c>
      <c r="L340" s="5">
        <v>1</v>
      </c>
      <c r="M340" s="5">
        <v>1</v>
      </c>
      <c r="N340" s="5">
        <v>1</v>
      </c>
      <c r="O340" s="5">
        <v>1</v>
      </c>
      <c r="P340" s="5">
        <v>1</v>
      </c>
      <c r="Q340" s="5">
        <v>0</v>
      </c>
      <c r="R340" s="5">
        <v>0</v>
      </c>
      <c r="S340" cm="1">
        <f t="array" ref="S340">GetLatitude(U340)</f>
        <v>34.5416667</v>
      </c>
      <c r="T340" cm="1">
        <f t="array" ref="T340">GetLongitude(U340)</f>
        <v>73.349999999999994</v>
      </c>
      <c r="U340" t="str">
        <f t="shared" si="15"/>
        <v>Lalazar, Kaghan Valley, PK</v>
      </c>
      <c r="V340" t="str" cm="1">
        <f t="array" ref="V340">GetCoordinates(U340)</f>
        <v>34.5416667, 73.3500000</v>
      </c>
      <c r="W340" s="13" cm="1">
        <f t="array" ref="W340">TravelTime(A340,U340,AB340)</f>
        <v>24544</v>
      </c>
      <c r="X340" s="13">
        <f t="shared" si="16"/>
        <v>409.06666666666666</v>
      </c>
      <c r="Y340" s="13" cm="1">
        <f t="array" ref="Y340">TravelDistance(A340,U340,AB340)</f>
        <v>533597</v>
      </c>
      <c r="Z340" s="13" t="str">
        <f t="shared" si="17"/>
        <v>533.6km</v>
      </c>
      <c r="AA340" s="14" t="s">
        <v>361</v>
      </c>
      <c r="AB340" t="s">
        <v>355</v>
      </c>
    </row>
    <row r="341" spans="1:28" ht="15" x14ac:dyDescent="0.25">
      <c r="A341" s="2" t="s">
        <v>190</v>
      </c>
      <c r="B341" s="2" t="s">
        <v>135</v>
      </c>
      <c r="D341" s="3" t="s">
        <v>20</v>
      </c>
      <c r="E341" s="4" t="s">
        <v>21</v>
      </c>
      <c r="F341" s="4" t="s">
        <v>137</v>
      </c>
      <c r="G341" s="5">
        <v>1</v>
      </c>
      <c r="H341" s="5">
        <v>1</v>
      </c>
      <c r="I341" s="5">
        <v>1</v>
      </c>
      <c r="J341" s="5">
        <v>1</v>
      </c>
      <c r="K341" s="5">
        <v>1</v>
      </c>
      <c r="L341" s="5">
        <v>1</v>
      </c>
      <c r="M341" s="5">
        <v>1</v>
      </c>
      <c r="N341" s="5">
        <v>1</v>
      </c>
      <c r="O341" s="5">
        <v>1</v>
      </c>
      <c r="P341" s="5">
        <v>1</v>
      </c>
      <c r="Q341" s="5">
        <v>0</v>
      </c>
      <c r="R341" s="5">
        <v>0</v>
      </c>
      <c r="S341" cm="1">
        <f t="array" ref="S341">GetLatitude(U341)</f>
        <v>34.5416667</v>
      </c>
      <c r="T341" cm="1">
        <f t="array" ref="T341">GetLongitude(U341)</f>
        <v>73.349999999999994</v>
      </c>
      <c r="U341" t="str">
        <f t="shared" si="15"/>
        <v>Lulusar Lake, Kaghan Valley, PK</v>
      </c>
      <c r="V341" t="str" cm="1">
        <f t="array" ref="V341">GetCoordinates(U341)</f>
        <v>34.5416667, 73.3500000</v>
      </c>
      <c r="W341" s="13" cm="1">
        <f t="array" ref="W341">TravelTime(A341,U341,AB341)</f>
        <v>24544</v>
      </c>
      <c r="X341" s="13">
        <f t="shared" si="16"/>
        <v>409.06666666666666</v>
      </c>
      <c r="Y341" s="13" cm="1">
        <f t="array" ref="Y341">TravelDistance(A341,U341,AB341)</f>
        <v>533597</v>
      </c>
      <c r="Z341" s="13" t="str">
        <f t="shared" si="17"/>
        <v>533.6km</v>
      </c>
      <c r="AA341" s="14" t="s">
        <v>361</v>
      </c>
      <c r="AB341" t="s">
        <v>355</v>
      </c>
    </row>
    <row r="342" spans="1:28" ht="15" x14ac:dyDescent="0.25">
      <c r="A342" s="2" t="s">
        <v>190</v>
      </c>
      <c r="B342" s="2" t="s">
        <v>135</v>
      </c>
      <c r="D342" s="3" t="s">
        <v>82</v>
      </c>
      <c r="E342" s="4" t="s">
        <v>21</v>
      </c>
      <c r="F342" s="4" t="s">
        <v>138</v>
      </c>
      <c r="G342" s="5">
        <v>1</v>
      </c>
      <c r="H342" s="5">
        <v>1</v>
      </c>
      <c r="I342" s="5">
        <v>1</v>
      </c>
      <c r="J342" s="5">
        <v>1</v>
      </c>
      <c r="K342" s="5">
        <v>1</v>
      </c>
      <c r="L342" s="5">
        <v>1</v>
      </c>
      <c r="M342" s="5">
        <v>1</v>
      </c>
      <c r="N342" s="5">
        <v>1</v>
      </c>
      <c r="O342" s="5">
        <v>1</v>
      </c>
      <c r="P342" s="5">
        <v>1</v>
      </c>
      <c r="Q342" s="5">
        <v>0</v>
      </c>
      <c r="R342" s="5">
        <v>0</v>
      </c>
      <c r="S342" cm="1">
        <f t="array" ref="S342">GetLatitude(U342)</f>
        <v>34.858134700000001</v>
      </c>
      <c r="T342" cm="1">
        <f t="array" ref="T342">GetLongitude(U342)</f>
        <v>73.688937800000005</v>
      </c>
      <c r="U342" t="str">
        <f t="shared" si="15"/>
        <v>Saif-ul-malouk, Kaghan Valley, PK</v>
      </c>
      <c r="V342" t="str" cm="1">
        <f t="array" ref="V342">GetCoordinates(U342)</f>
        <v>34.8581347, 73.6889378</v>
      </c>
      <c r="W342" s="13" t="e" cm="1">
        <f t="array" ref="W342">TravelTime(A342,U342,AB342)</f>
        <v>#VALUE!</v>
      </c>
      <c r="X342" s="13" t="e">
        <f t="shared" si="16"/>
        <v>#VALUE!</v>
      </c>
      <c r="Y342" s="13" cm="1">
        <f t="array" ref="Y342">TravelDistance(A342,U342,AB342)</f>
        <v>625382</v>
      </c>
      <c r="Z342" s="13" t="str">
        <f t="shared" si="17"/>
        <v>625.38km</v>
      </c>
      <c r="AA342" s="14" t="s">
        <v>361</v>
      </c>
      <c r="AB342" t="s">
        <v>355</v>
      </c>
    </row>
    <row r="343" spans="1:28" ht="15" x14ac:dyDescent="0.25">
      <c r="A343" s="2" t="s">
        <v>190</v>
      </c>
      <c r="B343" s="2" t="s">
        <v>186</v>
      </c>
      <c r="D343" s="3" t="s">
        <v>28</v>
      </c>
      <c r="E343" s="4" t="s">
        <v>29</v>
      </c>
      <c r="F343" s="4" t="s">
        <v>187</v>
      </c>
      <c r="G343" s="5">
        <v>1</v>
      </c>
      <c r="H343" s="5">
        <v>1</v>
      </c>
      <c r="I343" s="5">
        <v>1</v>
      </c>
      <c r="J343" s="5">
        <v>1</v>
      </c>
      <c r="K343" s="5">
        <v>1</v>
      </c>
      <c r="L343" s="5">
        <v>1</v>
      </c>
      <c r="M343" s="5">
        <v>1</v>
      </c>
      <c r="N343" s="5">
        <v>1</v>
      </c>
      <c r="O343" s="5">
        <v>1</v>
      </c>
      <c r="P343" s="5">
        <v>1</v>
      </c>
      <c r="Q343" s="5">
        <v>0</v>
      </c>
      <c r="R343" s="5">
        <v>0</v>
      </c>
      <c r="S343" cm="1">
        <f t="array" ref="S343">GetLatitude(U343)</f>
        <v>34.002513999999998</v>
      </c>
      <c r="T343" cm="1">
        <f t="array" ref="T343">GetLongitude(U343)</f>
        <v>71.380064099999998</v>
      </c>
      <c r="U343" t="str">
        <f t="shared" si="15"/>
        <v>Bab-e-Khyber, Khyber Agency, PK</v>
      </c>
      <c r="V343" t="str" cm="1">
        <f t="array" ref="V343">GetCoordinates(U343)</f>
        <v>34.0025140, 71.3800641</v>
      </c>
      <c r="W343" s="13" cm="1">
        <f t="array" ref="W343">TravelTime(A343,U343,AB343)</f>
        <v>22804</v>
      </c>
      <c r="X343" s="13">
        <f t="shared" si="16"/>
        <v>380.06666666666666</v>
      </c>
      <c r="Y343" s="13" cm="1">
        <f t="array" ref="Y343">TravelDistance(A343,U343,AB343)</f>
        <v>535880</v>
      </c>
      <c r="Z343" s="13" t="str">
        <f t="shared" si="17"/>
        <v>535.88km</v>
      </c>
      <c r="AA343" s="14" t="s">
        <v>361</v>
      </c>
      <c r="AB343" t="s">
        <v>355</v>
      </c>
    </row>
    <row r="344" spans="1:28" ht="15" x14ac:dyDescent="0.25">
      <c r="A344" s="2" t="s">
        <v>190</v>
      </c>
      <c r="B344" s="2" t="s">
        <v>188</v>
      </c>
      <c r="D344" s="3" t="s">
        <v>24</v>
      </c>
      <c r="E344" s="4" t="s">
        <v>21</v>
      </c>
      <c r="F344" s="4" t="s">
        <v>189</v>
      </c>
      <c r="G344" s="5">
        <v>1</v>
      </c>
      <c r="H344" s="5">
        <v>1</v>
      </c>
      <c r="I344" s="5">
        <v>1</v>
      </c>
      <c r="J344" s="5">
        <v>1</v>
      </c>
      <c r="K344" s="5">
        <v>1</v>
      </c>
      <c r="L344" s="5">
        <v>1</v>
      </c>
      <c r="M344" s="5">
        <v>1</v>
      </c>
      <c r="N344" s="5">
        <v>1</v>
      </c>
      <c r="O344" s="5">
        <v>1</v>
      </c>
      <c r="P344" s="5">
        <v>1</v>
      </c>
      <c r="Q344" s="5">
        <v>0</v>
      </c>
      <c r="R344" s="5">
        <v>0</v>
      </c>
      <c r="S344" cm="1">
        <f t="array" ref="S344">GetLatitude(U344)</f>
        <v>36.892222199999999</v>
      </c>
      <c r="T344" cm="1">
        <f t="array" ref="T344">GetLongitude(U344)</f>
        <v>73.263333299999999</v>
      </c>
      <c r="U344" t="str">
        <f t="shared" si="15"/>
        <v>Hindu Kush Mountains, KPK, PK</v>
      </c>
      <c r="V344" t="str" cm="1">
        <f t="array" ref="V344">GetCoordinates(U344)</f>
        <v>36.8922222, 73.2633333</v>
      </c>
      <c r="W344" s="13" t="e" cm="1">
        <f t="array" ref="W344">TravelTime(A344,U344,AB344)</f>
        <v>#VALUE!</v>
      </c>
      <c r="X344" s="13" t="e">
        <f t="shared" si="16"/>
        <v>#VALUE!</v>
      </c>
      <c r="Y344" s="13" t="e" cm="1">
        <f t="array" ref="Y344">TravelDistance(A344,U344,AB344)</f>
        <v>#VALUE!</v>
      </c>
      <c r="Z344" s="13" t="e">
        <f t="shared" si="17"/>
        <v>#VALUE!</v>
      </c>
      <c r="AA344" s="14" t="s">
        <v>361</v>
      </c>
      <c r="AB344" t="s">
        <v>355</v>
      </c>
    </row>
    <row r="345" spans="1:28" ht="15" x14ac:dyDescent="0.25">
      <c r="A345" s="2" t="s">
        <v>190</v>
      </c>
      <c r="B345" s="2" t="s">
        <v>218</v>
      </c>
      <c r="D345" s="3" t="s">
        <v>52</v>
      </c>
      <c r="E345" s="4" t="s">
        <v>29</v>
      </c>
      <c r="F345" s="4" t="s">
        <v>219</v>
      </c>
      <c r="G345" s="5">
        <v>1</v>
      </c>
      <c r="H345" s="5">
        <v>1</v>
      </c>
      <c r="I345" s="5">
        <v>1</v>
      </c>
      <c r="J345" s="5">
        <v>1</v>
      </c>
      <c r="K345" s="5">
        <v>1</v>
      </c>
      <c r="L345" s="5">
        <v>1</v>
      </c>
      <c r="M345" s="5">
        <v>1</v>
      </c>
      <c r="N345" s="5">
        <v>1</v>
      </c>
      <c r="O345" s="5">
        <v>0</v>
      </c>
      <c r="P345" s="5">
        <v>0</v>
      </c>
      <c r="Q345" s="5">
        <v>0</v>
      </c>
      <c r="R345" s="5">
        <v>0</v>
      </c>
      <c r="S345" cm="1">
        <f t="array" ref="S345">GetLatitude(U345)</f>
        <v>34.287572099999998</v>
      </c>
      <c r="T345" cm="1">
        <f t="array" ref="T345">GetLongitude(U345)</f>
        <v>71.934206099999997</v>
      </c>
      <c r="U345" t="str">
        <f t="shared" si="15"/>
        <v>Takht-i-Bahi, Mardan, PK</v>
      </c>
      <c r="V345" t="str" cm="1">
        <f t="array" ref="V345">GetCoordinates(U345)</f>
        <v>34.2875721, 71.9342061</v>
      </c>
      <c r="W345" s="13" cm="1">
        <f t="array" ref="W345">TravelTime(A345,U345,AB345)</f>
        <v>20946</v>
      </c>
      <c r="X345" s="13">
        <f t="shared" si="16"/>
        <v>349.1</v>
      </c>
      <c r="Y345" s="13" cm="1">
        <f t="array" ref="Y345">TravelDistance(A345,U345,AB345)</f>
        <v>490407</v>
      </c>
      <c r="Z345" s="13" t="str">
        <f t="shared" si="17"/>
        <v>490.41km</v>
      </c>
      <c r="AA345" s="14" t="s">
        <v>361</v>
      </c>
      <c r="AB345" t="s">
        <v>355</v>
      </c>
    </row>
    <row r="346" spans="1:28" ht="15" x14ac:dyDescent="0.25">
      <c r="A346" s="2" t="s">
        <v>190</v>
      </c>
      <c r="B346" s="2" t="s">
        <v>220</v>
      </c>
      <c r="D346" s="3" t="s">
        <v>28</v>
      </c>
      <c r="E346" s="4" t="s">
        <v>29</v>
      </c>
      <c r="F346" s="4" t="s">
        <v>318</v>
      </c>
      <c r="G346" s="5">
        <v>0</v>
      </c>
      <c r="H346" s="5">
        <v>1</v>
      </c>
      <c r="I346" s="5">
        <v>1</v>
      </c>
      <c r="J346" s="5">
        <v>1</v>
      </c>
      <c r="K346" s="5">
        <v>1</v>
      </c>
      <c r="L346" s="5">
        <v>1</v>
      </c>
      <c r="M346" s="5">
        <v>1</v>
      </c>
      <c r="N346" s="5">
        <v>1</v>
      </c>
      <c r="O346" s="5">
        <v>1</v>
      </c>
      <c r="P346" s="5">
        <v>1</v>
      </c>
      <c r="Q346" s="5">
        <v>1</v>
      </c>
      <c r="R346" s="5">
        <v>1</v>
      </c>
      <c r="S346" cm="1">
        <f t="array" ref="S346">GetLatitude(U346)</f>
        <v>30.288295699999999</v>
      </c>
      <c r="T346" cm="1">
        <f t="array" ref="T346">GetLongitude(U346)</f>
        <v>71.3830581</v>
      </c>
      <c r="U346" t="str">
        <f t="shared" si="15"/>
        <v>Head Muhammad Wala, Multan, PK</v>
      </c>
      <c r="V346" t="str" cm="1">
        <f t="array" ref="V346">GetCoordinates(U346)</f>
        <v>30.2882957, 71.3830581</v>
      </c>
      <c r="W346" s="13" cm="1">
        <f t="array" ref="W346">TravelTime(A346,U346,AB346)</f>
        <v>15135</v>
      </c>
      <c r="X346" s="13">
        <f t="shared" si="16"/>
        <v>252.25</v>
      </c>
      <c r="Y346" s="13" cm="1">
        <f t="array" ref="Y346">TravelDistance(A346,U346,AB346)</f>
        <v>345533</v>
      </c>
      <c r="Z346" s="13" t="str">
        <f t="shared" si="17"/>
        <v>345.53km</v>
      </c>
      <c r="AA346" s="14" t="s">
        <v>361</v>
      </c>
      <c r="AB346" t="s">
        <v>355</v>
      </c>
    </row>
    <row r="347" spans="1:28" ht="15" x14ac:dyDescent="0.25">
      <c r="A347" s="2" t="s">
        <v>190</v>
      </c>
      <c r="B347" s="2" t="s">
        <v>220</v>
      </c>
      <c r="D347" s="3" t="s">
        <v>45</v>
      </c>
      <c r="E347" s="4" t="s">
        <v>29</v>
      </c>
      <c r="F347" s="4" t="s">
        <v>221</v>
      </c>
      <c r="G347" s="5">
        <v>0</v>
      </c>
      <c r="H347" s="5">
        <v>1</v>
      </c>
      <c r="I347" s="5">
        <v>1</v>
      </c>
      <c r="J347" s="5">
        <v>1</v>
      </c>
      <c r="K347" s="5">
        <v>1</v>
      </c>
      <c r="L347" s="5">
        <v>1</v>
      </c>
      <c r="M347" s="5">
        <v>1</v>
      </c>
      <c r="N347" s="5">
        <v>1</v>
      </c>
      <c r="O347" s="5">
        <v>1</v>
      </c>
      <c r="P347" s="5">
        <v>1</v>
      </c>
      <c r="Q347" s="5">
        <v>1</v>
      </c>
      <c r="R347" s="5">
        <v>1</v>
      </c>
      <c r="S347" cm="1">
        <f t="array" ref="S347">GetLatitude(U347)</f>
        <v>30.199127300000001</v>
      </c>
      <c r="T347" cm="1">
        <f t="array" ref="T347">GetLongitude(U347)</f>
        <v>71.471737000000005</v>
      </c>
      <c r="U347" t="str">
        <f t="shared" si="15"/>
        <v>Tomb of Bahauddin Zakariya, Multan, PK</v>
      </c>
      <c r="V347" t="str" cm="1">
        <f t="array" ref="V347">GetCoordinates(U347)</f>
        <v>30.1991273, 71.4717370</v>
      </c>
      <c r="W347" s="13" cm="1">
        <f t="array" ref="W347">TravelTime(A347,U347,AB347)</f>
        <v>14930</v>
      </c>
      <c r="X347" s="13">
        <f t="shared" si="16"/>
        <v>248.83333333333334</v>
      </c>
      <c r="Y347" s="13" cm="1">
        <f t="array" ref="Y347">TravelDistance(A347,U347,AB347)</f>
        <v>345531</v>
      </c>
      <c r="Z347" s="13" t="str">
        <f t="shared" si="17"/>
        <v>345.53km</v>
      </c>
      <c r="AA347" s="14" t="s">
        <v>361</v>
      </c>
      <c r="AB347" t="s">
        <v>355</v>
      </c>
    </row>
    <row r="348" spans="1:28" ht="15" x14ac:dyDescent="0.25">
      <c r="A348" s="2" t="s">
        <v>190</v>
      </c>
      <c r="B348" s="2" t="s">
        <v>220</v>
      </c>
      <c r="D348" s="3" t="s">
        <v>31</v>
      </c>
      <c r="E348" s="4" t="s">
        <v>29</v>
      </c>
      <c r="F348" s="4" t="s">
        <v>319</v>
      </c>
      <c r="G348" s="5">
        <v>0</v>
      </c>
      <c r="H348" s="5">
        <v>1</v>
      </c>
      <c r="I348" s="5">
        <v>1</v>
      </c>
      <c r="J348" s="5">
        <v>1</v>
      </c>
      <c r="K348" s="5">
        <v>1</v>
      </c>
      <c r="L348" s="5">
        <v>1</v>
      </c>
      <c r="M348" s="5">
        <v>1</v>
      </c>
      <c r="N348" s="5">
        <v>1</v>
      </c>
      <c r="O348" s="5">
        <v>1</v>
      </c>
      <c r="P348" s="5">
        <v>1</v>
      </c>
      <c r="Q348" s="5">
        <v>1</v>
      </c>
      <c r="R348" s="5">
        <v>1</v>
      </c>
      <c r="S348" cm="1">
        <f t="array" ref="S348">GetLatitude(U348)</f>
        <v>30.170979599999999</v>
      </c>
      <c r="T348" cm="1">
        <f t="array" ref="T348">GetLongitude(U348)</f>
        <v>71.524544500000005</v>
      </c>
      <c r="U348" t="str">
        <f t="shared" si="15"/>
        <v>Multan Cricket Stadium, Multan, PK</v>
      </c>
      <c r="V348" t="str" cm="1">
        <f t="array" ref="V348">GetCoordinates(U348)</f>
        <v>30.1709796, 71.5245445</v>
      </c>
      <c r="W348" s="13" cm="1">
        <f t="array" ref="W348">TravelTime(A348,U348,AB348)</f>
        <v>14248</v>
      </c>
      <c r="X348" s="13">
        <f t="shared" si="16"/>
        <v>237.46666666666667</v>
      </c>
      <c r="Y348" s="13" cm="1">
        <f t="array" ref="Y348">TravelDistance(A348,U348,AB348)</f>
        <v>340159</v>
      </c>
      <c r="Z348" s="13" t="str">
        <f t="shared" si="17"/>
        <v>340.16km</v>
      </c>
      <c r="AA348" s="14" t="s">
        <v>361</v>
      </c>
      <c r="AB348" t="s">
        <v>355</v>
      </c>
    </row>
    <row r="349" spans="1:28" ht="15" x14ac:dyDescent="0.25">
      <c r="A349" s="2" t="s">
        <v>190</v>
      </c>
      <c r="B349" s="2" t="s">
        <v>220</v>
      </c>
      <c r="D349" s="3" t="s">
        <v>28</v>
      </c>
      <c r="E349" s="4" t="s">
        <v>29</v>
      </c>
      <c r="F349" s="4" t="s">
        <v>222</v>
      </c>
      <c r="G349" s="5">
        <v>0</v>
      </c>
      <c r="H349" s="5">
        <v>1</v>
      </c>
      <c r="I349" s="5">
        <v>1</v>
      </c>
      <c r="J349" s="5">
        <v>1</v>
      </c>
      <c r="K349" s="5">
        <v>1</v>
      </c>
      <c r="L349" s="5">
        <v>1</v>
      </c>
      <c r="M349" s="5">
        <v>1</v>
      </c>
      <c r="N349" s="5">
        <v>1</v>
      </c>
      <c r="O349" s="5">
        <v>1</v>
      </c>
      <c r="P349" s="5">
        <v>1</v>
      </c>
      <c r="Q349" s="5">
        <v>1</v>
      </c>
      <c r="R349" s="5">
        <v>1</v>
      </c>
      <c r="S349" cm="1">
        <f t="array" ref="S349">GetLatitude(U349)</f>
        <v>30.2036093</v>
      </c>
      <c r="T349" cm="1">
        <f t="array" ref="T349">GetLongitude(U349)</f>
        <v>71.452156000000002</v>
      </c>
      <c r="U349" t="str">
        <f t="shared" si="15"/>
        <v>Multan Arts Council, Multan, PK</v>
      </c>
      <c r="V349" t="str" cm="1">
        <f t="array" ref="V349">GetCoordinates(U349)</f>
        <v>30.2036093, 71.4521560</v>
      </c>
      <c r="W349" s="13" cm="1">
        <f t="array" ref="W349">TravelTime(A349,U349,AB349)</f>
        <v>14965</v>
      </c>
      <c r="X349" s="13">
        <f t="shared" si="16"/>
        <v>249.41666666666666</v>
      </c>
      <c r="Y349" s="13" cm="1">
        <f t="array" ref="Y349">TravelDistance(A349,U349,AB349)</f>
        <v>338985</v>
      </c>
      <c r="Z349" s="13" t="str">
        <f t="shared" si="17"/>
        <v>338.99km</v>
      </c>
      <c r="AA349" s="14" t="s">
        <v>361</v>
      </c>
      <c r="AB349" t="s">
        <v>355</v>
      </c>
    </row>
    <row r="350" spans="1:28" ht="15" x14ac:dyDescent="0.25">
      <c r="A350" s="2" t="s">
        <v>190</v>
      </c>
      <c r="B350" s="2" t="s">
        <v>220</v>
      </c>
      <c r="D350" s="3" t="s">
        <v>31</v>
      </c>
      <c r="E350" s="4" t="s">
        <v>21</v>
      </c>
      <c r="F350" s="4" t="s">
        <v>223</v>
      </c>
      <c r="G350" s="5">
        <v>0</v>
      </c>
      <c r="H350" s="5">
        <v>1</v>
      </c>
      <c r="I350" s="5">
        <v>1</v>
      </c>
      <c r="J350" s="5">
        <v>1</v>
      </c>
      <c r="K350" s="5">
        <v>1</v>
      </c>
      <c r="L350" s="5">
        <v>1</v>
      </c>
      <c r="M350" s="5">
        <v>1</v>
      </c>
      <c r="N350" s="5">
        <v>1</v>
      </c>
      <c r="O350" s="5">
        <v>1</v>
      </c>
      <c r="P350" s="5">
        <v>1</v>
      </c>
      <c r="Q350" s="5">
        <v>1</v>
      </c>
      <c r="R350" s="5">
        <v>1</v>
      </c>
      <c r="S350" cm="1">
        <f t="array" ref="S350">GetLatitude(U350)</f>
        <v>30.182514600000001</v>
      </c>
      <c r="T350" cm="1">
        <f t="array" ref="T350">GetLongitude(U350)</f>
        <v>71.422144000000003</v>
      </c>
      <c r="U350" t="str">
        <f t="shared" si="15"/>
        <v>Cantonment Garden, Multan, PK</v>
      </c>
      <c r="V350" t="str" cm="1">
        <f t="array" ref="V350">GetCoordinates(U350)</f>
        <v>30.1825146, 71.4221440</v>
      </c>
      <c r="W350" s="13" cm="1">
        <f t="array" ref="W350">TravelTime(A350,U350,AB350)</f>
        <v>15524</v>
      </c>
      <c r="X350" s="13">
        <f t="shared" si="16"/>
        <v>258.73333333333335</v>
      </c>
      <c r="Y350" s="13" cm="1">
        <f t="array" ref="Y350">TravelDistance(A350,U350,AB350)</f>
        <v>365180</v>
      </c>
      <c r="Z350" s="13" t="str">
        <f t="shared" si="17"/>
        <v>365.18km</v>
      </c>
      <c r="AA350" s="14" t="s">
        <v>361</v>
      </c>
      <c r="AB350" t="s">
        <v>355</v>
      </c>
    </row>
    <row r="351" spans="1:28" ht="15" x14ac:dyDescent="0.25">
      <c r="A351" s="2" t="s">
        <v>190</v>
      </c>
      <c r="B351" s="2" t="s">
        <v>220</v>
      </c>
      <c r="D351" s="3" t="s">
        <v>28</v>
      </c>
      <c r="E351" s="4" t="s">
        <v>29</v>
      </c>
      <c r="F351" s="4" t="s">
        <v>320</v>
      </c>
      <c r="G351" s="5">
        <v>0</v>
      </c>
      <c r="H351" s="5">
        <v>1</v>
      </c>
      <c r="I351" s="5">
        <v>1</v>
      </c>
      <c r="J351" s="5">
        <v>1</v>
      </c>
      <c r="K351" s="5">
        <v>1</v>
      </c>
      <c r="L351" s="5">
        <v>1</v>
      </c>
      <c r="M351" s="5">
        <v>1</v>
      </c>
      <c r="N351" s="5">
        <v>1</v>
      </c>
      <c r="O351" s="5">
        <v>1</v>
      </c>
      <c r="P351" s="5">
        <v>1</v>
      </c>
      <c r="Q351" s="5">
        <v>1</v>
      </c>
      <c r="R351" s="5">
        <v>1</v>
      </c>
      <c r="S351" cm="1">
        <f t="array" ref="S351">GetLatitude(U351)</f>
        <v>30.193279700000001</v>
      </c>
      <c r="T351" cm="1">
        <f t="array" ref="T351">GetLongitude(U351)</f>
        <v>71.449416600000006</v>
      </c>
      <c r="U351" t="str">
        <f t="shared" si="15"/>
        <v>Ahmad Shah Abdali's Birth Place Monument, Multan, PK</v>
      </c>
      <c r="V351" t="str" cm="1">
        <f t="array" ref="V351">GetCoordinates(U351)</f>
        <v>30.1932797, 71.4494166</v>
      </c>
      <c r="W351" s="13" cm="1">
        <f t="array" ref="W351">TravelTime(A351,U351,AB351)</f>
        <v>15059</v>
      </c>
      <c r="X351" s="13">
        <f t="shared" si="16"/>
        <v>250.98333333333332</v>
      </c>
      <c r="Y351" s="13" cm="1">
        <f t="array" ref="Y351">TravelDistance(A351,U351,AB351)</f>
        <v>339574</v>
      </c>
      <c r="Z351" s="13" t="str">
        <f t="shared" si="17"/>
        <v>339.57km</v>
      </c>
      <c r="AA351" s="14" t="s">
        <v>361</v>
      </c>
      <c r="AB351" t="s">
        <v>355</v>
      </c>
    </row>
    <row r="352" spans="1:28" ht="15" x14ac:dyDescent="0.25">
      <c r="A352" s="2" t="s">
        <v>190</v>
      </c>
      <c r="B352" s="2" t="s">
        <v>220</v>
      </c>
      <c r="D352" s="3" t="s">
        <v>28</v>
      </c>
      <c r="E352" s="4" t="s">
        <v>29</v>
      </c>
      <c r="F352" s="4" t="s">
        <v>224</v>
      </c>
      <c r="G352" s="5">
        <v>0</v>
      </c>
      <c r="H352" s="5">
        <v>1</v>
      </c>
      <c r="I352" s="5">
        <v>1</v>
      </c>
      <c r="J352" s="5">
        <v>1</v>
      </c>
      <c r="K352" s="5">
        <v>1</v>
      </c>
      <c r="L352" s="5">
        <v>1</v>
      </c>
      <c r="M352" s="5">
        <v>1</v>
      </c>
      <c r="N352" s="5">
        <v>1</v>
      </c>
      <c r="O352" s="5">
        <v>1</v>
      </c>
      <c r="P352" s="5">
        <v>1</v>
      </c>
      <c r="Q352" s="5">
        <v>1</v>
      </c>
      <c r="R352" s="5">
        <v>1</v>
      </c>
      <c r="S352" cm="1">
        <f t="array" ref="S352">GetLatitude(U352)</f>
        <v>30.1793607</v>
      </c>
      <c r="T352" cm="1">
        <f t="array" ref="T352">GetLongitude(U352)</f>
        <v>71.460292600000002</v>
      </c>
      <c r="U352" t="str">
        <f t="shared" si="15"/>
        <v>Shrine Khawaja Awais Kagha, Multan, PK</v>
      </c>
      <c r="V352" t="str" cm="1">
        <f t="array" ref="V352">GetCoordinates(U352)</f>
        <v>30.1793607, 71.4602926</v>
      </c>
      <c r="W352" s="13" cm="1">
        <f t="array" ref="W352">TravelTime(A352,U352,AB352)</f>
        <v>15081</v>
      </c>
      <c r="X352" s="13">
        <f t="shared" si="16"/>
        <v>251.35</v>
      </c>
      <c r="Y352" s="13" cm="1">
        <f t="array" ref="Y352">TravelDistance(A352,U352,AB352)</f>
        <v>345112</v>
      </c>
      <c r="Z352" s="13" t="str">
        <f t="shared" si="17"/>
        <v>345.11km</v>
      </c>
      <c r="AA352" s="14" t="s">
        <v>361</v>
      </c>
      <c r="AB352" t="s">
        <v>355</v>
      </c>
    </row>
    <row r="353" spans="1:28" ht="15" x14ac:dyDescent="0.25">
      <c r="A353" s="2" t="s">
        <v>190</v>
      </c>
      <c r="B353" s="2" t="s">
        <v>220</v>
      </c>
      <c r="D353" s="3" t="s">
        <v>28</v>
      </c>
      <c r="E353" s="4" t="s">
        <v>21</v>
      </c>
      <c r="F353" s="4" t="s">
        <v>225</v>
      </c>
      <c r="G353" s="5">
        <v>0</v>
      </c>
      <c r="H353" s="5">
        <v>1</v>
      </c>
      <c r="I353" s="5">
        <v>1</v>
      </c>
      <c r="J353" s="5">
        <v>1</v>
      </c>
      <c r="K353" s="5">
        <v>1</v>
      </c>
      <c r="L353" s="5">
        <v>1</v>
      </c>
      <c r="M353" s="5">
        <v>1</v>
      </c>
      <c r="N353" s="5">
        <v>1</v>
      </c>
      <c r="O353" s="5">
        <v>1</v>
      </c>
      <c r="P353" s="5">
        <v>1</v>
      </c>
      <c r="Q353" s="5">
        <v>1</v>
      </c>
      <c r="R353" s="5">
        <v>1</v>
      </c>
      <c r="S353" cm="1">
        <f t="array" ref="S353">GetLatitude(U353)</f>
        <v>30.182072999999999</v>
      </c>
      <c r="T353" cm="1">
        <f t="array" ref="T353">GetLongitude(U353)</f>
        <v>71.418526</v>
      </c>
      <c r="U353" t="str">
        <f t="shared" si="15"/>
        <v>CSD Park, Multan, PK</v>
      </c>
      <c r="V353" t="str" cm="1">
        <f t="array" ref="V353">GetCoordinates(U353)</f>
        <v>30.1820730, 71.4185260</v>
      </c>
      <c r="W353" s="13" cm="1">
        <f t="array" ref="W353">TravelTime(A353,U353,AB353)</f>
        <v>15478</v>
      </c>
      <c r="X353" s="13">
        <f t="shared" si="16"/>
        <v>257.96666666666664</v>
      </c>
      <c r="Y353" s="13" cm="1">
        <f t="array" ref="Y353">TravelDistance(A353,U353,AB353)</f>
        <v>365029</v>
      </c>
      <c r="Z353" s="13" t="str">
        <f t="shared" si="17"/>
        <v>365.03km</v>
      </c>
      <c r="AA353" s="14" t="s">
        <v>361</v>
      </c>
      <c r="AB353" t="s">
        <v>355</v>
      </c>
    </row>
    <row r="354" spans="1:28" ht="15" x14ac:dyDescent="0.25">
      <c r="A354" s="2" t="s">
        <v>190</v>
      </c>
      <c r="B354" s="2" t="s">
        <v>220</v>
      </c>
      <c r="D354" s="3" t="s">
        <v>31</v>
      </c>
      <c r="E354" s="4" t="s">
        <v>29</v>
      </c>
      <c r="F354" s="4" t="s">
        <v>226</v>
      </c>
      <c r="G354" s="5">
        <v>0</v>
      </c>
      <c r="H354" s="5">
        <v>1</v>
      </c>
      <c r="I354" s="5">
        <v>1</v>
      </c>
      <c r="J354" s="5">
        <v>1</v>
      </c>
      <c r="K354" s="5">
        <v>1</v>
      </c>
      <c r="L354" s="5">
        <v>1</v>
      </c>
      <c r="M354" s="5">
        <v>1</v>
      </c>
      <c r="N354" s="5">
        <v>1</v>
      </c>
      <c r="O354" s="5">
        <v>1</v>
      </c>
      <c r="P354" s="5">
        <v>1</v>
      </c>
      <c r="Q354" s="5">
        <v>1</v>
      </c>
      <c r="R354" s="5">
        <v>1</v>
      </c>
      <c r="S354" cm="1">
        <f t="array" ref="S354">GetLatitude(U354)</f>
        <v>30.198785000000001</v>
      </c>
      <c r="T354" cm="1">
        <f t="array" ref="T354">GetLongitude(U354)</f>
        <v>71.479225</v>
      </c>
      <c r="U354" t="str">
        <f t="shared" si="15"/>
        <v>Dolat Gate, Multan, PK</v>
      </c>
      <c r="V354" t="str" cm="1">
        <f t="array" ref="V354">GetCoordinates(U354)</f>
        <v>30.1987850, 71.4792250</v>
      </c>
      <c r="W354" s="13" cm="1">
        <f t="array" ref="W354">TravelTime(A354,U354,AB354)</f>
        <v>14735</v>
      </c>
      <c r="X354" s="13">
        <f t="shared" si="16"/>
        <v>245.58333333333334</v>
      </c>
      <c r="Y354" s="13" cm="1">
        <f t="array" ref="Y354">TravelDistance(A354,U354,AB354)</f>
        <v>344671</v>
      </c>
      <c r="Z354" s="13" t="str">
        <f t="shared" si="17"/>
        <v>344.67km</v>
      </c>
      <c r="AA354" s="14" t="s">
        <v>361</v>
      </c>
      <c r="AB354" t="s">
        <v>355</v>
      </c>
    </row>
    <row r="355" spans="1:28" ht="15" x14ac:dyDescent="0.25">
      <c r="A355" s="2" t="s">
        <v>190</v>
      </c>
      <c r="B355" s="2" t="s">
        <v>220</v>
      </c>
      <c r="D355" s="3" t="s">
        <v>28</v>
      </c>
      <c r="E355" s="4" t="s">
        <v>29</v>
      </c>
      <c r="F355" s="4" t="s">
        <v>227</v>
      </c>
      <c r="G355" s="5">
        <v>0</v>
      </c>
      <c r="H355" s="5">
        <v>1</v>
      </c>
      <c r="I355" s="5">
        <v>1</v>
      </c>
      <c r="J355" s="5">
        <v>1</v>
      </c>
      <c r="K355" s="5">
        <v>1</v>
      </c>
      <c r="L355" s="5">
        <v>1</v>
      </c>
      <c r="M355" s="5">
        <v>1</v>
      </c>
      <c r="N355" s="5">
        <v>1</v>
      </c>
      <c r="O355" s="5">
        <v>1</v>
      </c>
      <c r="P355" s="5">
        <v>1</v>
      </c>
      <c r="Q355" s="5">
        <v>1</v>
      </c>
      <c r="R355" s="5">
        <v>1</v>
      </c>
      <c r="S355" cm="1">
        <f t="array" ref="S355">GetLatitude(U355)</f>
        <v>30.197686099999999</v>
      </c>
      <c r="T355" cm="1">
        <f t="array" ref="T355">GetLongitude(U355)</f>
        <v>71.471426899999997</v>
      </c>
      <c r="U355" t="str">
        <f t="shared" si="15"/>
        <v>Nigar Khana, Multan, PK</v>
      </c>
      <c r="V355" t="str" cm="1">
        <f t="array" ref="V355">GetCoordinates(U355)</f>
        <v>30.1976861, 71.4714269</v>
      </c>
      <c r="W355" s="13" cm="1">
        <f t="array" ref="W355">TravelTime(A355,U355,AB355)</f>
        <v>14969</v>
      </c>
      <c r="X355" s="13">
        <f t="shared" si="16"/>
        <v>249.48333333333332</v>
      </c>
      <c r="Y355" s="13" cm="1">
        <f t="array" ref="Y355">TravelDistance(A355,U355,AB355)</f>
        <v>345688</v>
      </c>
      <c r="Z355" s="13" t="str">
        <f t="shared" si="17"/>
        <v>345.69km</v>
      </c>
      <c r="AA355" s="14" t="s">
        <v>361</v>
      </c>
      <c r="AB355" t="s">
        <v>355</v>
      </c>
    </row>
    <row r="356" spans="1:28" ht="15" x14ac:dyDescent="0.25">
      <c r="A356" s="2" t="s">
        <v>190</v>
      </c>
      <c r="B356" s="2" t="s">
        <v>220</v>
      </c>
      <c r="D356" s="3" t="s">
        <v>28</v>
      </c>
      <c r="E356" s="4" t="s">
        <v>29</v>
      </c>
      <c r="F356" s="4" t="s">
        <v>228</v>
      </c>
      <c r="G356" s="5">
        <v>0</v>
      </c>
      <c r="H356" s="5">
        <v>1</v>
      </c>
      <c r="I356" s="5">
        <v>1</v>
      </c>
      <c r="J356" s="5">
        <v>1</v>
      </c>
      <c r="K356" s="5">
        <v>1</v>
      </c>
      <c r="L356" s="5">
        <v>1</v>
      </c>
      <c r="M356" s="5">
        <v>1</v>
      </c>
      <c r="N356" s="5">
        <v>1</v>
      </c>
      <c r="O356" s="5">
        <v>1</v>
      </c>
      <c r="P356" s="5">
        <v>1</v>
      </c>
      <c r="Q356" s="5">
        <v>1</v>
      </c>
      <c r="R356" s="5">
        <v>1</v>
      </c>
      <c r="S356" cm="1">
        <f t="array" ref="S356">GetLatitude(U356)</f>
        <v>30.2011556</v>
      </c>
      <c r="T356" cm="1">
        <f t="array" ref="T356">GetLongitude(U356)</f>
        <v>71.484060900000003</v>
      </c>
      <c r="U356" t="str">
        <f t="shared" si="15"/>
        <v>Tomb Shah Shams Sabzwari Tabrez, Multan, PK</v>
      </c>
      <c r="V356" t="str" cm="1">
        <f t="array" ref="V356">GetCoordinates(U356)</f>
        <v>30.2011556, 71.4840609</v>
      </c>
      <c r="W356" s="13" cm="1">
        <f t="array" ref="W356">TravelTime(A356,U356,AB356)</f>
        <v>14758</v>
      </c>
      <c r="X356" s="13">
        <f t="shared" si="16"/>
        <v>245.96666666666667</v>
      </c>
      <c r="Y356" s="13" cm="1">
        <f t="array" ref="Y356">TravelDistance(A356,U356,AB356)</f>
        <v>335650</v>
      </c>
      <c r="Z356" s="13" t="str">
        <f t="shared" si="17"/>
        <v>335.65km</v>
      </c>
      <c r="AA356" s="14" t="s">
        <v>361</v>
      </c>
      <c r="AB356" t="s">
        <v>355</v>
      </c>
    </row>
    <row r="357" spans="1:28" ht="15" x14ac:dyDescent="0.25">
      <c r="A357" s="2" t="s">
        <v>190</v>
      </c>
      <c r="B357" s="2" t="s">
        <v>220</v>
      </c>
      <c r="D357" s="3" t="s">
        <v>31</v>
      </c>
      <c r="E357" s="4" t="s">
        <v>36</v>
      </c>
      <c r="F357" s="4" t="s">
        <v>229</v>
      </c>
      <c r="G357" s="5">
        <v>0</v>
      </c>
      <c r="H357" s="5">
        <v>1</v>
      </c>
      <c r="I357" s="5">
        <v>1</v>
      </c>
      <c r="J357" s="5">
        <v>1</v>
      </c>
      <c r="K357" s="5">
        <v>1</v>
      </c>
      <c r="L357" s="5">
        <v>1</v>
      </c>
      <c r="M357" s="5">
        <v>1</v>
      </c>
      <c r="N357" s="5">
        <v>1</v>
      </c>
      <c r="O357" s="5">
        <v>1</v>
      </c>
      <c r="P357" s="5">
        <v>1</v>
      </c>
      <c r="Q357" s="5">
        <v>1</v>
      </c>
      <c r="R357" s="5">
        <v>1</v>
      </c>
      <c r="S357" cm="1">
        <f t="array" ref="S357">GetLatitude(U357)</f>
        <v>30.193677900000001</v>
      </c>
      <c r="T357" cm="1">
        <f t="array" ref="T357">GetLongitude(U357)</f>
        <v>71.451550100000006</v>
      </c>
      <c r="U357" t="str">
        <f t="shared" si="15"/>
        <v>United Mall, Multan, PK</v>
      </c>
      <c r="V357" t="str" cm="1">
        <f t="array" ref="V357">GetCoordinates(U357)</f>
        <v>30.1936779, 71.4515501</v>
      </c>
      <c r="W357" s="13" cm="1">
        <f t="array" ref="W357">TravelTime(A357,U357,AB357)</f>
        <v>15054</v>
      </c>
      <c r="X357" s="13">
        <f t="shared" si="16"/>
        <v>250.9</v>
      </c>
      <c r="Y357" s="13" cm="1">
        <f t="array" ref="Y357">TravelDistance(A357,U357,AB357)</f>
        <v>339230</v>
      </c>
      <c r="Z357" s="13" t="str">
        <f t="shared" si="17"/>
        <v>339.23km</v>
      </c>
      <c r="AA357" s="14" t="s">
        <v>361</v>
      </c>
      <c r="AB357" t="s">
        <v>355</v>
      </c>
    </row>
    <row r="358" spans="1:28" ht="15" x14ac:dyDescent="0.25">
      <c r="A358" s="2" t="s">
        <v>190</v>
      </c>
      <c r="B358" s="2" t="s">
        <v>220</v>
      </c>
      <c r="D358" s="3" t="s">
        <v>28</v>
      </c>
      <c r="E358" s="4" t="s">
        <v>29</v>
      </c>
      <c r="F358" s="4" t="s">
        <v>321</v>
      </c>
      <c r="G358" s="5">
        <v>0</v>
      </c>
      <c r="H358" s="5">
        <v>1</v>
      </c>
      <c r="I358" s="5">
        <v>1</v>
      </c>
      <c r="J358" s="5">
        <v>1</v>
      </c>
      <c r="K358" s="5">
        <v>1</v>
      </c>
      <c r="L358" s="5">
        <v>1</v>
      </c>
      <c r="M358" s="5">
        <v>1</v>
      </c>
      <c r="N358" s="5">
        <v>1</v>
      </c>
      <c r="O358" s="5">
        <v>1</v>
      </c>
      <c r="P358" s="5">
        <v>1</v>
      </c>
      <c r="Q358" s="5">
        <v>1</v>
      </c>
      <c r="R358" s="5">
        <v>1</v>
      </c>
      <c r="S358" cm="1">
        <f t="array" ref="S358">GetLatitude(U358)</f>
        <v>30.197746299999999</v>
      </c>
      <c r="T358" cm="1">
        <f t="array" ref="T358">GetLongitude(U358)</f>
        <v>71.474090000000004</v>
      </c>
      <c r="U358" t="str">
        <f t="shared" si="15"/>
        <v>Qila Kohna Qasim Bagh Stadium, Multan, PK</v>
      </c>
      <c r="V358" t="str" cm="1">
        <f t="array" ref="V358">GetCoordinates(U358)</f>
        <v>30.1977463, 71.4740900</v>
      </c>
      <c r="W358" s="13" cm="1">
        <f t="array" ref="W358">TravelTime(A358,U358,AB358)</f>
        <v>14949</v>
      </c>
      <c r="X358" s="13">
        <f t="shared" si="16"/>
        <v>249.15</v>
      </c>
      <c r="Y358" s="13" cm="1">
        <f t="array" ref="Y358">TravelDistance(A358,U358,AB358)</f>
        <v>345602</v>
      </c>
      <c r="Z358" s="13" t="str">
        <f t="shared" si="17"/>
        <v>345.6km</v>
      </c>
      <c r="AA358" s="14" t="s">
        <v>361</v>
      </c>
      <c r="AB358" t="s">
        <v>355</v>
      </c>
    </row>
    <row r="359" spans="1:28" ht="15" x14ac:dyDescent="0.25">
      <c r="A359" s="2" t="s">
        <v>190</v>
      </c>
      <c r="B359" s="2" t="s">
        <v>220</v>
      </c>
      <c r="D359" s="3" t="s">
        <v>28</v>
      </c>
      <c r="E359" s="4" t="s">
        <v>29</v>
      </c>
      <c r="F359" s="4" t="s">
        <v>322</v>
      </c>
      <c r="G359" s="5">
        <v>0</v>
      </c>
      <c r="H359" s="5">
        <v>1</v>
      </c>
      <c r="I359" s="5">
        <v>1</v>
      </c>
      <c r="J359" s="5">
        <v>1</v>
      </c>
      <c r="K359" s="5">
        <v>1</v>
      </c>
      <c r="L359" s="5">
        <v>1</v>
      </c>
      <c r="M359" s="5">
        <v>1</v>
      </c>
      <c r="N359" s="5">
        <v>1</v>
      </c>
      <c r="O359" s="5">
        <v>1</v>
      </c>
      <c r="P359" s="5">
        <v>1</v>
      </c>
      <c r="Q359" s="5">
        <v>1</v>
      </c>
      <c r="R359" s="5">
        <v>1</v>
      </c>
      <c r="S359" cm="1">
        <f t="array" ref="S359">GetLatitude(U359)</f>
        <v>30.197746299999999</v>
      </c>
      <c r="T359" cm="1">
        <f t="array" ref="T359">GetLongitude(U359)</f>
        <v>71.474090000000004</v>
      </c>
      <c r="U359" t="str">
        <f t="shared" si="15"/>
        <v>Ibne Qasim Cricket Stadium, Multan, PK</v>
      </c>
      <c r="V359" t="str" cm="1">
        <f t="array" ref="V359">GetCoordinates(U359)</f>
        <v>30.1977463, 71.4740900</v>
      </c>
      <c r="W359" s="13" cm="1">
        <f t="array" ref="W359">TravelTime(A359,U359,AB359)</f>
        <v>14949</v>
      </c>
      <c r="X359" s="13">
        <f t="shared" si="16"/>
        <v>249.15</v>
      </c>
      <c r="Y359" s="13" cm="1">
        <f t="array" ref="Y359">TravelDistance(A359,U359,AB359)</f>
        <v>345602</v>
      </c>
      <c r="Z359" s="13" t="str">
        <f t="shared" si="17"/>
        <v>345.6km</v>
      </c>
      <c r="AA359" s="14" t="s">
        <v>361</v>
      </c>
      <c r="AB359" t="s">
        <v>355</v>
      </c>
    </row>
    <row r="360" spans="1:28" ht="15" x14ac:dyDescent="0.25">
      <c r="A360" s="2" t="s">
        <v>190</v>
      </c>
      <c r="B360" s="2" t="s">
        <v>220</v>
      </c>
      <c r="D360" s="3" t="s">
        <v>28</v>
      </c>
      <c r="E360" s="4" t="s">
        <v>29</v>
      </c>
      <c r="F360" s="4" t="s">
        <v>211</v>
      </c>
      <c r="G360" s="5">
        <v>0</v>
      </c>
      <c r="H360" s="5">
        <v>1</v>
      </c>
      <c r="I360" s="5">
        <v>1</v>
      </c>
      <c r="J360" s="5">
        <v>1</v>
      </c>
      <c r="K360" s="5">
        <v>1</v>
      </c>
      <c r="L360" s="5">
        <v>1</v>
      </c>
      <c r="M360" s="5">
        <v>1</v>
      </c>
      <c r="N360" s="5">
        <v>1</v>
      </c>
      <c r="O360" s="5">
        <v>1</v>
      </c>
      <c r="P360" s="5">
        <v>1</v>
      </c>
      <c r="Q360" s="5">
        <v>1</v>
      </c>
      <c r="R360" s="5">
        <v>1</v>
      </c>
      <c r="S360" cm="1">
        <f t="array" ref="S360">GetLatitude(U360)</f>
        <v>30.1922131</v>
      </c>
      <c r="T360" cm="1">
        <f t="array" ref="T360">GetLongitude(U360)</f>
        <v>71.4780552</v>
      </c>
      <c r="U360" t="str">
        <f t="shared" si="15"/>
        <v>Delhi Gate, Multan, PK</v>
      </c>
      <c r="V360" t="str" cm="1">
        <f t="array" ref="V360">GetCoordinates(U360)</f>
        <v>30.1922131, 71.4780552</v>
      </c>
      <c r="W360" s="13" cm="1">
        <f t="array" ref="W360">TravelTime(A360,U360,AB360)</f>
        <v>14834</v>
      </c>
      <c r="X360" s="13">
        <f t="shared" si="16"/>
        <v>247.23333333333332</v>
      </c>
      <c r="Y360" s="13" cm="1">
        <f t="array" ref="Y360">TravelDistance(A360,U360,AB360)</f>
        <v>344237</v>
      </c>
      <c r="Z360" s="13" t="str">
        <f t="shared" si="17"/>
        <v>344.24km</v>
      </c>
      <c r="AA360" s="14" t="s">
        <v>361</v>
      </c>
      <c r="AB360" t="s">
        <v>355</v>
      </c>
    </row>
    <row r="361" spans="1:28" ht="15" x14ac:dyDescent="0.25">
      <c r="A361" s="2" t="s">
        <v>190</v>
      </c>
      <c r="B361" s="2" t="s">
        <v>220</v>
      </c>
      <c r="D361" s="3" t="s">
        <v>28</v>
      </c>
      <c r="E361" s="4" t="s">
        <v>29</v>
      </c>
      <c r="F361" s="4" t="s">
        <v>230</v>
      </c>
      <c r="G361" s="5">
        <v>0</v>
      </c>
      <c r="H361" s="5">
        <v>1</v>
      </c>
      <c r="I361" s="5">
        <v>1</v>
      </c>
      <c r="J361" s="5">
        <v>1</v>
      </c>
      <c r="K361" s="5">
        <v>1</v>
      </c>
      <c r="L361" s="5">
        <v>1</v>
      </c>
      <c r="M361" s="5">
        <v>1</v>
      </c>
      <c r="N361" s="5">
        <v>1</v>
      </c>
      <c r="O361" s="5">
        <v>1</v>
      </c>
      <c r="P361" s="5">
        <v>1</v>
      </c>
      <c r="Q361" s="5">
        <v>1</v>
      </c>
      <c r="R361" s="5">
        <v>1</v>
      </c>
      <c r="S361" cm="1">
        <f t="array" ref="S361">GetLatitude(U361)</f>
        <v>30.2179289</v>
      </c>
      <c r="T361" cm="1">
        <f t="array" ref="T361">GetLongitude(U361)</f>
        <v>71.438053199999999</v>
      </c>
      <c r="U361" t="str">
        <f t="shared" si="15"/>
        <v>Tomb Shah Ali Akbar, Multan, PK</v>
      </c>
      <c r="V361" t="str" cm="1">
        <f t="array" ref="V361">GetCoordinates(U361)</f>
        <v>30.2179289, 71.4380532</v>
      </c>
      <c r="W361" s="13" cm="1">
        <f t="array" ref="W361">TravelTime(A361,U361,AB361)</f>
        <v>15139</v>
      </c>
      <c r="X361" s="13">
        <f t="shared" si="16"/>
        <v>252.31666666666666</v>
      </c>
      <c r="Y361" s="13" cm="1">
        <f t="array" ref="Y361">TravelDistance(A361,U361,AB361)</f>
        <v>341017</v>
      </c>
      <c r="Z361" s="13" t="str">
        <f t="shared" si="17"/>
        <v>341.02km</v>
      </c>
      <c r="AA361" s="14" t="s">
        <v>361</v>
      </c>
      <c r="AB361" t="s">
        <v>355</v>
      </c>
    </row>
    <row r="362" spans="1:28" ht="15" x14ac:dyDescent="0.25">
      <c r="A362" s="2" t="s">
        <v>190</v>
      </c>
      <c r="B362" s="2" t="s">
        <v>220</v>
      </c>
      <c r="D362" s="3" t="s">
        <v>31</v>
      </c>
      <c r="E362" s="4" t="s">
        <v>21</v>
      </c>
      <c r="F362" s="4" t="s">
        <v>231</v>
      </c>
      <c r="G362" s="5">
        <v>0</v>
      </c>
      <c r="H362" s="5">
        <v>1</v>
      </c>
      <c r="I362" s="5">
        <v>1</v>
      </c>
      <c r="J362" s="5">
        <v>1</v>
      </c>
      <c r="K362" s="5">
        <v>1</v>
      </c>
      <c r="L362" s="5">
        <v>1</v>
      </c>
      <c r="M362" s="5">
        <v>1</v>
      </c>
      <c r="N362" s="5">
        <v>1</v>
      </c>
      <c r="O362" s="5">
        <v>1</v>
      </c>
      <c r="P362" s="5">
        <v>1</v>
      </c>
      <c r="Q362" s="5">
        <v>1</v>
      </c>
      <c r="R362" s="5">
        <v>1</v>
      </c>
      <c r="S362" cm="1">
        <f t="array" ref="S362">GetLatitude(U362)</f>
        <v>30.075058800000001</v>
      </c>
      <c r="T362" cm="1">
        <f t="array" ref="T362">GetLongitude(U362)</f>
        <v>71.281258399999999</v>
      </c>
      <c r="U362" t="str">
        <f t="shared" si="15"/>
        <v>Chenab West Bank Park, Multan, PK</v>
      </c>
      <c r="V362" t="str" cm="1">
        <f t="array" ref="V362">GetCoordinates(U362)</f>
        <v>30.0750588, 71.2812584</v>
      </c>
      <c r="W362" s="13" cm="1">
        <f t="array" ref="W362">TravelTime(A362,U362,AB362)</f>
        <v>15248</v>
      </c>
      <c r="X362" s="13">
        <f t="shared" si="16"/>
        <v>254.13333333333333</v>
      </c>
      <c r="Y362" s="13" cm="1">
        <f t="array" ref="Y362">TravelDistance(A362,U362,AB362)</f>
        <v>368593</v>
      </c>
      <c r="Z362" s="13" t="str">
        <f t="shared" si="17"/>
        <v>368.59km</v>
      </c>
      <c r="AA362" s="14" t="s">
        <v>361</v>
      </c>
      <c r="AB362" t="s">
        <v>355</v>
      </c>
    </row>
    <row r="363" spans="1:28" ht="15" x14ac:dyDescent="0.25">
      <c r="A363" s="2" t="s">
        <v>190</v>
      </c>
      <c r="B363" s="2" t="s">
        <v>220</v>
      </c>
      <c r="D363" s="3" t="s">
        <v>28</v>
      </c>
      <c r="E363" s="4" t="s">
        <v>29</v>
      </c>
      <c r="F363" s="4" t="s">
        <v>232</v>
      </c>
      <c r="G363" s="5">
        <v>0</v>
      </c>
      <c r="H363" s="5">
        <v>1</v>
      </c>
      <c r="I363" s="5">
        <v>1</v>
      </c>
      <c r="J363" s="5">
        <v>1</v>
      </c>
      <c r="K363" s="5">
        <v>1</v>
      </c>
      <c r="L363" s="5">
        <v>1</v>
      </c>
      <c r="M363" s="5">
        <v>1</v>
      </c>
      <c r="N363" s="5">
        <v>1</v>
      </c>
      <c r="O363" s="5">
        <v>1</v>
      </c>
      <c r="P363" s="5">
        <v>1</v>
      </c>
      <c r="Q363" s="5">
        <v>1</v>
      </c>
      <c r="R363" s="5">
        <v>1</v>
      </c>
      <c r="S363" cm="1">
        <f t="array" ref="S363">GetLatitude(U363)</f>
        <v>30.157457999999998</v>
      </c>
      <c r="T363" cm="1">
        <f t="array" ref="T363">GetLongitude(U363)</f>
        <v>71.524915399999998</v>
      </c>
      <c r="U363" t="str">
        <f t="shared" si="15"/>
        <v>Char Minar Masjid, Multan, PK</v>
      </c>
      <c r="V363" t="str" cm="1">
        <f t="array" ref="V363">GetCoordinates(U363)</f>
        <v>30.1574580, 71.5249154</v>
      </c>
      <c r="W363" s="13" cm="1">
        <f t="array" ref="W363">TravelTime(A363,U363,AB363)</f>
        <v>14002</v>
      </c>
      <c r="X363" s="13">
        <f t="shared" si="16"/>
        <v>233.36666666666667</v>
      </c>
      <c r="Y363" s="13" cm="1">
        <f t="array" ref="Y363">TravelDistance(A363,U363,AB363)</f>
        <v>338085</v>
      </c>
      <c r="Z363" s="13" t="str">
        <f t="shared" si="17"/>
        <v>338.09km</v>
      </c>
      <c r="AA363" s="14" t="s">
        <v>361</v>
      </c>
      <c r="AB363" t="s">
        <v>355</v>
      </c>
    </row>
    <row r="364" spans="1:28" ht="15" x14ac:dyDescent="0.25">
      <c r="A364" s="2" t="s">
        <v>190</v>
      </c>
      <c r="B364" s="2" t="s">
        <v>220</v>
      </c>
      <c r="D364" s="3" t="s">
        <v>28</v>
      </c>
      <c r="E364" s="4" t="s">
        <v>29</v>
      </c>
      <c r="F364" s="4" t="s">
        <v>233</v>
      </c>
      <c r="G364" s="5">
        <v>0</v>
      </c>
      <c r="H364" s="5">
        <v>1</v>
      </c>
      <c r="I364" s="5">
        <v>1</v>
      </c>
      <c r="J364" s="5">
        <v>1</v>
      </c>
      <c r="K364" s="5">
        <v>1</v>
      </c>
      <c r="L364" s="5">
        <v>1</v>
      </c>
      <c r="M364" s="5">
        <v>1</v>
      </c>
      <c r="N364" s="5">
        <v>1</v>
      </c>
      <c r="O364" s="5">
        <v>1</v>
      </c>
      <c r="P364" s="5">
        <v>1</v>
      </c>
      <c r="Q364" s="5">
        <v>1</v>
      </c>
      <c r="R364" s="5">
        <v>1</v>
      </c>
      <c r="S364" cm="1">
        <f t="array" ref="S364">GetLatitude(U364)</f>
        <v>30.198557000000001</v>
      </c>
      <c r="T364" cm="1">
        <f t="array" ref="T364">GetLongitude(U364)</f>
        <v>71.468381199999996</v>
      </c>
      <c r="U364" t="str">
        <f t="shared" si="15"/>
        <v>Ghanta Ghar, Multan, PK</v>
      </c>
      <c r="V364" t="str" cm="1">
        <f t="array" ref="V364">GetCoordinates(U364)</f>
        <v>30.1985570, 71.4683812</v>
      </c>
      <c r="W364" s="13" cm="1">
        <f t="array" ref="W364">TravelTime(A364,U364,AB364)</f>
        <v>14874</v>
      </c>
      <c r="X364" s="13">
        <f t="shared" si="16"/>
        <v>247.9</v>
      </c>
      <c r="Y364" s="13" cm="1">
        <f t="array" ref="Y364">TravelDistance(A364,U364,AB364)</f>
        <v>337668</v>
      </c>
      <c r="Z364" s="13" t="str">
        <f t="shared" si="17"/>
        <v>337.67km</v>
      </c>
      <c r="AA364" s="14" t="s">
        <v>361</v>
      </c>
      <c r="AB364" t="s">
        <v>355</v>
      </c>
    </row>
    <row r="365" spans="1:28" ht="15" x14ac:dyDescent="0.25">
      <c r="A365" s="2" t="s">
        <v>190</v>
      </c>
      <c r="B365" s="2" t="s">
        <v>220</v>
      </c>
      <c r="D365" s="3" t="s">
        <v>28</v>
      </c>
      <c r="E365" s="4" t="s">
        <v>29</v>
      </c>
      <c r="F365" s="4" t="s">
        <v>234</v>
      </c>
      <c r="G365" s="5">
        <v>0</v>
      </c>
      <c r="H365" s="5">
        <v>1</v>
      </c>
      <c r="I365" s="5">
        <v>1</v>
      </c>
      <c r="J365" s="5">
        <v>1</v>
      </c>
      <c r="K365" s="5">
        <v>1</v>
      </c>
      <c r="L365" s="5">
        <v>1</v>
      </c>
      <c r="M365" s="5">
        <v>1</v>
      </c>
      <c r="N365" s="5">
        <v>1</v>
      </c>
      <c r="O365" s="5">
        <v>1</v>
      </c>
      <c r="P365" s="5">
        <v>1</v>
      </c>
      <c r="Q365" s="5">
        <v>1</v>
      </c>
      <c r="R365" s="5">
        <v>1</v>
      </c>
      <c r="S365" cm="1">
        <f t="array" ref="S365">GetLatitude(U365)</f>
        <v>30.196596400000001</v>
      </c>
      <c r="T365" cm="1">
        <f t="array" ref="T365">GetLongitude(U365)</f>
        <v>71.463151600000003</v>
      </c>
      <c r="U365" t="str">
        <f t="shared" si="15"/>
        <v>Shrine of Mai Maharban, Multan, PK</v>
      </c>
      <c r="V365" t="str" cm="1">
        <f t="array" ref="V365">GetCoordinates(U365)</f>
        <v>30.1965964, 71.4631516</v>
      </c>
      <c r="W365" s="13" cm="1">
        <f t="array" ref="W365">TravelTime(A365,U365,AB365)</f>
        <v>15033</v>
      </c>
      <c r="X365" s="13">
        <f t="shared" si="16"/>
        <v>250.55</v>
      </c>
      <c r="Y365" s="13" cm="1">
        <f t="array" ref="Y365">TravelDistance(A365,U365,AB365)</f>
        <v>338356</v>
      </c>
      <c r="Z365" s="13" t="str">
        <f t="shared" si="17"/>
        <v>338.36km</v>
      </c>
      <c r="AA365" s="14" t="s">
        <v>361</v>
      </c>
      <c r="AB365" t="s">
        <v>355</v>
      </c>
    </row>
    <row r="366" spans="1:28" ht="15" x14ac:dyDescent="0.25">
      <c r="A366" s="2" t="s">
        <v>190</v>
      </c>
      <c r="B366" s="2" t="s">
        <v>220</v>
      </c>
      <c r="D366" s="3" t="s">
        <v>28</v>
      </c>
      <c r="E366" s="4" t="s">
        <v>29</v>
      </c>
      <c r="F366" s="4" t="s">
        <v>323</v>
      </c>
      <c r="G366" s="5">
        <v>0</v>
      </c>
      <c r="H366" s="5">
        <v>1</v>
      </c>
      <c r="I366" s="5">
        <v>1</v>
      </c>
      <c r="J366" s="5">
        <v>1</v>
      </c>
      <c r="K366" s="5">
        <v>1</v>
      </c>
      <c r="L366" s="5">
        <v>1</v>
      </c>
      <c r="M366" s="5">
        <v>1</v>
      </c>
      <c r="N366" s="5">
        <v>1</v>
      </c>
      <c r="O366" s="5">
        <v>1</v>
      </c>
      <c r="P366" s="5">
        <v>1</v>
      </c>
      <c r="Q366" s="5">
        <v>1</v>
      </c>
      <c r="R366" s="5">
        <v>1</v>
      </c>
      <c r="S366" cm="1">
        <f t="array" ref="S366">GetLatitude(U366)</f>
        <v>30.157457999999998</v>
      </c>
      <c r="T366" cm="1">
        <f t="array" ref="T366">GetLongitude(U366)</f>
        <v>71.524915399999998</v>
      </c>
      <c r="U366" t="str">
        <f t="shared" si="15"/>
        <v>Damdama, Multan, PK</v>
      </c>
      <c r="V366" t="str" cm="1">
        <f t="array" ref="V366">GetCoordinates(U366)</f>
        <v>30.1574580, 71.5249154</v>
      </c>
      <c r="W366" s="13" cm="1">
        <f t="array" ref="W366">TravelTime(A366,U366,AB366)</f>
        <v>14002</v>
      </c>
      <c r="X366" s="13">
        <f t="shared" si="16"/>
        <v>233.36666666666667</v>
      </c>
      <c r="Y366" s="13" cm="1">
        <f t="array" ref="Y366">TravelDistance(A366,U366,AB366)</f>
        <v>338085</v>
      </c>
      <c r="Z366" s="13" t="str">
        <f t="shared" si="17"/>
        <v>338.09km</v>
      </c>
      <c r="AA366" s="14" t="s">
        <v>361</v>
      </c>
      <c r="AB366" t="s">
        <v>355</v>
      </c>
    </row>
    <row r="367" spans="1:28" ht="15" x14ac:dyDescent="0.25">
      <c r="A367" s="2" t="s">
        <v>190</v>
      </c>
      <c r="B367" s="2" t="s">
        <v>220</v>
      </c>
      <c r="D367" s="9" t="s">
        <v>31</v>
      </c>
      <c r="E367" s="4" t="s">
        <v>21</v>
      </c>
      <c r="F367" s="4" t="s">
        <v>324</v>
      </c>
      <c r="G367" s="5">
        <v>0</v>
      </c>
      <c r="H367" s="5">
        <v>1</v>
      </c>
      <c r="I367" s="5">
        <v>1</v>
      </c>
      <c r="J367" s="5">
        <v>1</v>
      </c>
      <c r="K367" s="5">
        <v>1</v>
      </c>
      <c r="L367" s="5">
        <v>1</v>
      </c>
      <c r="M367" s="5">
        <v>1</v>
      </c>
      <c r="N367" s="5">
        <v>1</v>
      </c>
      <c r="O367" s="5">
        <v>1</v>
      </c>
      <c r="P367" s="5">
        <v>1</v>
      </c>
      <c r="Q367" s="5">
        <v>1</v>
      </c>
      <c r="R367" s="5">
        <v>1</v>
      </c>
      <c r="S367" cm="1">
        <f t="array" ref="S367">GetLatitude(U367)</f>
        <v>30.179908300000001</v>
      </c>
      <c r="T367" cm="1">
        <f t="array" ref="T367">GetLongitude(U367)</f>
        <v>71.418256799999995</v>
      </c>
      <c r="U367" t="str">
        <f t="shared" si="15"/>
        <v>Yadgar e Shuhada Park, Multan, PK</v>
      </c>
      <c r="V367" t="str" cm="1">
        <f t="array" ref="V367">GetCoordinates(U367)</f>
        <v>30.1799083, 71.4182568</v>
      </c>
      <c r="W367" s="13" cm="1">
        <f t="array" ref="W367">TravelTime(A367,U367,AB367)</f>
        <v>15491</v>
      </c>
      <c r="X367" s="13">
        <f t="shared" si="16"/>
        <v>258.18333333333334</v>
      </c>
      <c r="Y367" s="13" cm="1">
        <f t="array" ref="Y367">TravelDistance(A367,U367,AB367)</f>
        <v>364661</v>
      </c>
      <c r="Z367" s="13" t="str">
        <f t="shared" si="17"/>
        <v>364.66km</v>
      </c>
      <c r="AA367" s="14" t="s">
        <v>361</v>
      </c>
      <c r="AB367" t="s">
        <v>355</v>
      </c>
    </row>
    <row r="368" spans="1:28" ht="15" x14ac:dyDescent="0.25">
      <c r="A368" s="2" t="s">
        <v>190</v>
      </c>
      <c r="B368" s="2" t="s">
        <v>220</v>
      </c>
      <c r="D368" s="3" t="s">
        <v>31</v>
      </c>
      <c r="E368" s="4" t="s">
        <v>29</v>
      </c>
      <c r="F368" s="4" t="s">
        <v>235</v>
      </c>
      <c r="G368" s="5">
        <v>0</v>
      </c>
      <c r="H368" s="5">
        <v>1</v>
      </c>
      <c r="I368" s="5">
        <v>1</v>
      </c>
      <c r="J368" s="5">
        <v>1</v>
      </c>
      <c r="K368" s="5">
        <v>1</v>
      </c>
      <c r="L368" s="5">
        <v>1</v>
      </c>
      <c r="M368" s="5">
        <v>1</v>
      </c>
      <c r="N368" s="5">
        <v>1</v>
      </c>
      <c r="O368" s="5">
        <v>1</v>
      </c>
      <c r="P368" s="5">
        <v>1</v>
      </c>
      <c r="Q368" s="5">
        <v>1</v>
      </c>
      <c r="R368" s="5">
        <v>1</v>
      </c>
      <c r="S368" cm="1">
        <f t="array" ref="S368">GetLatitude(U368)</f>
        <v>30.1901738</v>
      </c>
      <c r="T368" cm="1">
        <f t="array" ref="T368">GetLongitude(U368)</f>
        <v>71.469442200000003</v>
      </c>
      <c r="U368" t="str">
        <f t="shared" si="15"/>
        <v>Haram Gate, Multan, PK</v>
      </c>
      <c r="V368" t="str" cm="1">
        <f t="array" ref="V368">GetCoordinates(U368)</f>
        <v>30.1901738, 71.4694422</v>
      </c>
      <c r="W368" s="13" cm="1">
        <f t="array" ref="W368">TravelTime(A368,U368,AB368)</f>
        <v>14997</v>
      </c>
      <c r="X368" s="13">
        <f t="shared" si="16"/>
        <v>249.95</v>
      </c>
      <c r="Y368" s="13" cm="1">
        <f t="array" ref="Y368">TravelDistance(A368,U368,AB368)</f>
        <v>344931</v>
      </c>
      <c r="Z368" s="13" t="str">
        <f t="shared" si="17"/>
        <v>344.93km</v>
      </c>
      <c r="AA368" s="14" t="s">
        <v>361</v>
      </c>
      <c r="AB368" t="s">
        <v>355</v>
      </c>
    </row>
    <row r="369" spans="1:28" ht="15" x14ac:dyDescent="0.25">
      <c r="A369" s="2" t="s">
        <v>190</v>
      </c>
      <c r="B369" s="2" t="s">
        <v>220</v>
      </c>
      <c r="D369" s="3" t="s">
        <v>45</v>
      </c>
      <c r="E369" s="4" t="s">
        <v>21</v>
      </c>
      <c r="F369" s="4" t="s">
        <v>325</v>
      </c>
      <c r="G369" s="5">
        <v>0</v>
      </c>
      <c r="H369" s="5">
        <v>1</v>
      </c>
      <c r="I369" s="5">
        <v>1</v>
      </c>
      <c r="J369" s="5">
        <v>1</v>
      </c>
      <c r="K369" s="5">
        <v>1</v>
      </c>
      <c r="L369" s="5">
        <v>1</v>
      </c>
      <c r="M369" s="5">
        <v>1</v>
      </c>
      <c r="N369" s="5">
        <v>1</v>
      </c>
      <c r="O369" s="5">
        <v>1</v>
      </c>
      <c r="P369" s="5">
        <v>1</v>
      </c>
      <c r="Q369" s="5">
        <v>1</v>
      </c>
      <c r="R369" s="5">
        <v>1</v>
      </c>
      <c r="S369" cm="1">
        <f t="array" ref="S369">GetLatitude(U369)</f>
        <v>30.204029599999998</v>
      </c>
      <c r="T369" cm="1">
        <f t="array" ref="T369">GetLongitude(U369)</f>
        <v>71.482287799999995</v>
      </c>
      <c r="U369" t="str">
        <f t="shared" si="15"/>
        <v>Shah Shams Park, Multan, PK</v>
      </c>
      <c r="V369" t="str" cm="1">
        <f t="array" ref="V369">GetCoordinates(U369)</f>
        <v>30.2040296, 71.4822878</v>
      </c>
      <c r="W369" s="13" cm="1">
        <f t="array" ref="W369">TravelTime(A369,U369,AB369)</f>
        <v>14775</v>
      </c>
      <c r="X369" s="13">
        <f t="shared" si="16"/>
        <v>246.25</v>
      </c>
      <c r="Y369" s="13" cm="1">
        <f t="array" ref="Y369">TravelDistance(A369,U369,AB369)</f>
        <v>336230</v>
      </c>
      <c r="Z369" s="13" t="str">
        <f t="shared" si="17"/>
        <v>336.23km</v>
      </c>
      <c r="AA369" s="14" t="s">
        <v>361</v>
      </c>
      <c r="AB369" t="s">
        <v>355</v>
      </c>
    </row>
    <row r="370" spans="1:28" ht="15" x14ac:dyDescent="0.25">
      <c r="A370" s="2" t="s">
        <v>190</v>
      </c>
      <c r="B370" s="2" t="s">
        <v>220</v>
      </c>
      <c r="D370" s="3" t="s">
        <v>28</v>
      </c>
      <c r="E370" s="4" t="s">
        <v>55</v>
      </c>
      <c r="F370" s="4" t="s">
        <v>236</v>
      </c>
      <c r="G370" s="5">
        <v>0</v>
      </c>
      <c r="H370" s="5">
        <v>1</v>
      </c>
      <c r="I370" s="5">
        <v>1</v>
      </c>
      <c r="J370" s="5">
        <v>1</v>
      </c>
      <c r="K370" s="5">
        <v>1</v>
      </c>
      <c r="L370" s="5">
        <v>1</v>
      </c>
      <c r="M370" s="5">
        <v>1</v>
      </c>
      <c r="N370" s="5">
        <v>1</v>
      </c>
      <c r="O370" s="5">
        <v>1</v>
      </c>
      <c r="P370" s="5">
        <v>1</v>
      </c>
      <c r="Q370" s="5">
        <v>1</v>
      </c>
      <c r="R370" s="5">
        <v>1</v>
      </c>
      <c r="S370" cm="1">
        <f t="array" ref="S370">GetLatitude(U370)</f>
        <v>30.178245</v>
      </c>
      <c r="T370" cm="1">
        <f t="array" ref="T370">GetLongitude(U370)</f>
        <v>71.414351400000001</v>
      </c>
      <c r="U370" t="str">
        <f t="shared" si="15"/>
        <v>Chaman Zar Askari Lake Park, Multan, PK</v>
      </c>
      <c r="V370" t="str" cm="1">
        <f t="array" ref="V370">GetCoordinates(U370)</f>
        <v>30.1782450, 71.4143514</v>
      </c>
      <c r="W370" s="13" cm="1">
        <f t="array" ref="W370">TravelTime(A370,U370,AB370)</f>
        <v>15545</v>
      </c>
      <c r="X370" s="13">
        <f t="shared" si="16"/>
        <v>259.08333333333331</v>
      </c>
      <c r="Y370" s="13" cm="1">
        <f t="array" ref="Y370">TravelDistance(A370,U370,AB370)</f>
        <v>343519</v>
      </c>
      <c r="Z370" s="13" t="str">
        <f t="shared" si="17"/>
        <v>343.52km</v>
      </c>
      <c r="AA370" s="14" t="s">
        <v>361</v>
      </c>
      <c r="AB370" t="s">
        <v>355</v>
      </c>
    </row>
    <row r="371" spans="1:28" ht="15" x14ac:dyDescent="0.25">
      <c r="A371" s="2" t="s">
        <v>190</v>
      </c>
      <c r="B371" s="2" t="s">
        <v>220</v>
      </c>
      <c r="D371" s="3" t="s">
        <v>28</v>
      </c>
      <c r="E371" s="4" t="s">
        <v>29</v>
      </c>
      <c r="F371" s="4" t="s">
        <v>237</v>
      </c>
      <c r="G371" s="5">
        <v>0</v>
      </c>
      <c r="H371" s="5">
        <v>1</v>
      </c>
      <c r="I371" s="5">
        <v>1</v>
      </c>
      <c r="J371" s="5">
        <v>1</v>
      </c>
      <c r="K371" s="5">
        <v>1</v>
      </c>
      <c r="L371" s="5">
        <v>1</v>
      </c>
      <c r="M371" s="5">
        <v>1</v>
      </c>
      <c r="N371" s="5">
        <v>1</v>
      </c>
      <c r="O371" s="5">
        <v>1</v>
      </c>
      <c r="P371" s="5">
        <v>1</v>
      </c>
      <c r="Q371" s="5">
        <v>1</v>
      </c>
      <c r="R371" s="5">
        <v>1</v>
      </c>
      <c r="S371" cm="1">
        <f t="array" ref="S371">GetLatitude(U371)</f>
        <v>30.199127300000001</v>
      </c>
      <c r="T371" cm="1">
        <f t="array" ref="T371">GetLongitude(U371)</f>
        <v>71.471737000000005</v>
      </c>
      <c r="U371" t="str">
        <f t="shared" si="15"/>
        <v>Mausoleum of Bibi Pak Daman, Multan, PK</v>
      </c>
      <c r="V371" t="str" cm="1">
        <f t="array" ref="V371">GetCoordinates(U371)</f>
        <v>30.1991273, 71.4717370</v>
      </c>
      <c r="W371" s="13" cm="1">
        <f t="array" ref="W371">TravelTime(A371,U371,AB371)</f>
        <v>14930</v>
      </c>
      <c r="X371" s="13">
        <f t="shared" si="16"/>
        <v>248.83333333333334</v>
      </c>
      <c r="Y371" s="13" cm="1">
        <f t="array" ref="Y371">TravelDistance(A371,U371,AB371)</f>
        <v>345531</v>
      </c>
      <c r="Z371" s="13" t="str">
        <f t="shared" si="17"/>
        <v>345.53km</v>
      </c>
      <c r="AA371" s="14" t="s">
        <v>361</v>
      </c>
      <c r="AB371" t="s">
        <v>355</v>
      </c>
    </row>
    <row r="372" spans="1:28" ht="15" x14ac:dyDescent="0.25">
      <c r="A372" s="2" t="s">
        <v>190</v>
      </c>
      <c r="B372" s="2" t="s">
        <v>220</v>
      </c>
      <c r="D372" s="3" t="s">
        <v>28</v>
      </c>
      <c r="E372" s="4" t="s">
        <v>29</v>
      </c>
      <c r="F372" s="4" t="s">
        <v>238</v>
      </c>
      <c r="G372" s="5">
        <v>0</v>
      </c>
      <c r="H372" s="5">
        <v>1</v>
      </c>
      <c r="I372" s="5">
        <v>1</v>
      </c>
      <c r="J372" s="5">
        <v>1</v>
      </c>
      <c r="K372" s="5">
        <v>1</v>
      </c>
      <c r="L372" s="5">
        <v>1</v>
      </c>
      <c r="M372" s="5">
        <v>1</v>
      </c>
      <c r="N372" s="5">
        <v>1</v>
      </c>
      <c r="O372" s="5">
        <v>1</v>
      </c>
      <c r="P372" s="5">
        <v>1</v>
      </c>
      <c r="Q372" s="5">
        <v>1</v>
      </c>
      <c r="R372" s="5">
        <v>1</v>
      </c>
      <c r="S372" cm="1">
        <f t="array" ref="S372">GetLatitude(U372)</f>
        <v>30.194596499999999</v>
      </c>
      <c r="T372" cm="1">
        <f t="array" ref="T372">GetLongitude(U372)</f>
        <v>71.465556599999999</v>
      </c>
      <c r="U372" t="str">
        <f t="shared" si="15"/>
        <v>Shrine of Shah Yusuf Gardezi, Multan, PK</v>
      </c>
      <c r="V372" t="str" cm="1">
        <f t="array" ref="V372">GetCoordinates(U372)</f>
        <v>30.1945965, 71.4655566</v>
      </c>
      <c r="W372" s="13" cm="1">
        <f t="array" ref="W372">TravelTime(A372,U372,AB372)</f>
        <v>14960</v>
      </c>
      <c r="X372" s="13">
        <f t="shared" si="16"/>
        <v>249.33333333333334</v>
      </c>
      <c r="Y372" s="13" cm="1">
        <f t="array" ref="Y372">TravelDistance(A372,U372,AB372)</f>
        <v>338121</v>
      </c>
      <c r="Z372" s="13" t="str">
        <f t="shared" si="17"/>
        <v>338.12km</v>
      </c>
      <c r="AA372" s="14" t="s">
        <v>361</v>
      </c>
      <c r="AB372" t="s">
        <v>355</v>
      </c>
    </row>
    <row r="373" spans="1:28" ht="15" x14ac:dyDescent="0.25">
      <c r="A373" s="2" t="s">
        <v>190</v>
      </c>
      <c r="B373" s="2" t="s">
        <v>220</v>
      </c>
      <c r="D373" s="3" t="s">
        <v>28</v>
      </c>
      <c r="E373" s="4" t="s">
        <v>29</v>
      </c>
      <c r="F373" s="4" t="s">
        <v>239</v>
      </c>
      <c r="G373" s="5">
        <v>0</v>
      </c>
      <c r="H373" s="5">
        <v>1</v>
      </c>
      <c r="I373" s="5">
        <v>1</v>
      </c>
      <c r="J373" s="5">
        <v>1</v>
      </c>
      <c r="K373" s="5">
        <v>1</v>
      </c>
      <c r="L373" s="5">
        <v>1</v>
      </c>
      <c r="M373" s="5">
        <v>1</v>
      </c>
      <c r="N373" s="5">
        <v>1</v>
      </c>
      <c r="O373" s="5">
        <v>1</v>
      </c>
      <c r="P373" s="5">
        <v>1</v>
      </c>
      <c r="Q373" s="5">
        <v>1</v>
      </c>
      <c r="R373" s="5">
        <v>1</v>
      </c>
      <c r="S373" cm="1">
        <f t="array" ref="S373">GetLatitude(U373)</f>
        <v>30.199206199999999</v>
      </c>
      <c r="T373" cm="1">
        <f t="array" ref="T373">GetLongitude(U373)</f>
        <v>71.471609900000004</v>
      </c>
      <c r="U373" t="str">
        <f t="shared" si="15"/>
        <v>Tomb Shah Rukne Alam, Multan, PK</v>
      </c>
      <c r="V373" t="str" cm="1">
        <f t="array" ref="V373">GetCoordinates(U373)</f>
        <v>30.1992062, 71.4716099</v>
      </c>
      <c r="W373" s="13" cm="1">
        <f t="array" ref="W373">TravelTime(A373,U373,AB373)</f>
        <v>14909</v>
      </c>
      <c r="X373" s="13">
        <f t="shared" si="16"/>
        <v>248.48333333333332</v>
      </c>
      <c r="Y373" s="13" cm="1">
        <f t="array" ref="Y373">TravelDistance(A373,U373,AB373)</f>
        <v>337817</v>
      </c>
      <c r="Z373" s="13" t="str">
        <f t="shared" si="17"/>
        <v>337.82km</v>
      </c>
      <c r="AA373" s="14" t="s">
        <v>361</v>
      </c>
      <c r="AB373" t="s">
        <v>355</v>
      </c>
    </row>
    <row r="374" spans="1:28" ht="15" x14ac:dyDescent="0.25">
      <c r="A374" s="2" t="s">
        <v>190</v>
      </c>
      <c r="B374" s="2" t="s">
        <v>220</v>
      </c>
      <c r="D374" s="3" t="s">
        <v>28</v>
      </c>
      <c r="E374" s="4" t="s">
        <v>29</v>
      </c>
      <c r="F374" s="4" t="s">
        <v>326</v>
      </c>
      <c r="G374" s="5">
        <v>0</v>
      </c>
      <c r="H374" s="5">
        <v>1</v>
      </c>
      <c r="I374" s="5">
        <v>1</v>
      </c>
      <c r="J374" s="5">
        <v>1</v>
      </c>
      <c r="K374" s="5">
        <v>1</v>
      </c>
      <c r="L374" s="5">
        <v>1</v>
      </c>
      <c r="M374" s="5">
        <v>1</v>
      </c>
      <c r="N374" s="5">
        <v>1</v>
      </c>
      <c r="O374" s="5">
        <v>1</v>
      </c>
      <c r="P374" s="5">
        <v>1</v>
      </c>
      <c r="Q374" s="5">
        <v>1</v>
      </c>
      <c r="R374" s="5">
        <v>1</v>
      </c>
      <c r="S374" cm="1">
        <f t="array" ref="S374">GetLatitude(U374)</f>
        <v>30.181448100000001</v>
      </c>
      <c r="T374" cm="1">
        <f t="array" ref="T374">GetLongitude(U374)</f>
        <v>71.424370400000001</v>
      </c>
      <c r="U374" t="str">
        <f t="shared" si="15"/>
        <v>Multan Garrison Mess, Multan, PK</v>
      </c>
      <c r="V374" t="str" cm="1">
        <f t="array" ref="V374">GetCoordinates(U374)</f>
        <v>30.1814481, 71.4243704</v>
      </c>
      <c r="W374" s="13" cm="1">
        <f t="array" ref="W374">TravelTime(A374,U374,AB374)</f>
        <v>15516</v>
      </c>
      <c r="X374" s="13">
        <f t="shared" si="16"/>
        <v>258.60000000000002</v>
      </c>
      <c r="Y374" s="13" cm="1">
        <f t="array" ref="Y374">TravelDistance(A374,U374,AB374)</f>
        <v>365036</v>
      </c>
      <c r="Z374" s="13" t="str">
        <f t="shared" si="17"/>
        <v>365.04km</v>
      </c>
      <c r="AA374" s="14" t="s">
        <v>361</v>
      </c>
      <c r="AB374" t="s">
        <v>355</v>
      </c>
    </row>
    <row r="375" spans="1:28" ht="15" x14ac:dyDescent="0.25">
      <c r="A375" s="2" t="s">
        <v>190</v>
      </c>
      <c r="B375" s="2" t="s">
        <v>220</v>
      </c>
      <c r="D375" s="3" t="s">
        <v>28</v>
      </c>
      <c r="E375" s="4" t="s">
        <v>29</v>
      </c>
      <c r="F375" s="4" t="s">
        <v>240</v>
      </c>
      <c r="G375" s="5">
        <v>0</v>
      </c>
      <c r="H375" s="5">
        <v>1</v>
      </c>
      <c r="I375" s="5">
        <v>1</v>
      </c>
      <c r="J375" s="5">
        <v>1</v>
      </c>
      <c r="K375" s="5">
        <v>1</v>
      </c>
      <c r="L375" s="5">
        <v>1</v>
      </c>
      <c r="M375" s="5">
        <v>1</v>
      </c>
      <c r="N375" s="5">
        <v>1</v>
      </c>
      <c r="O375" s="5">
        <v>1</v>
      </c>
      <c r="P375" s="5">
        <v>1</v>
      </c>
      <c r="Q375" s="5">
        <v>1</v>
      </c>
      <c r="R375" s="5">
        <v>1</v>
      </c>
      <c r="S375" cm="1">
        <f t="array" ref="S375">GetLatitude(U375)</f>
        <v>30.1985159</v>
      </c>
      <c r="T375" cm="1">
        <f t="array" ref="T375">GetLongitude(U375)</f>
        <v>71.473659900000001</v>
      </c>
      <c r="U375" t="str">
        <f t="shared" si="15"/>
        <v>Fort Kohna, Multan, PK</v>
      </c>
      <c r="V375" t="str" cm="1">
        <f t="array" ref="V375">GetCoordinates(U375)</f>
        <v>30.1985159, 71.4736599</v>
      </c>
      <c r="W375" s="13" cm="1">
        <f t="array" ref="W375">TravelTime(A375,U375,AB375)</f>
        <v>14894</v>
      </c>
      <c r="X375" s="13">
        <f t="shared" si="16"/>
        <v>248.23333333333332</v>
      </c>
      <c r="Y375" s="13" cm="1">
        <f t="array" ref="Y375">TravelDistance(A375,U375,AB375)</f>
        <v>337754</v>
      </c>
      <c r="Z375" s="13" t="str">
        <f t="shared" si="17"/>
        <v>337.75km</v>
      </c>
      <c r="AA375" s="14" t="s">
        <v>361</v>
      </c>
      <c r="AB375" t="s">
        <v>355</v>
      </c>
    </row>
    <row r="376" spans="1:28" ht="12.75" x14ac:dyDescent="0.2">
      <c r="A376" s="2" t="s">
        <v>190</v>
      </c>
      <c r="B376" s="2" t="s">
        <v>327</v>
      </c>
      <c r="D376" s="3" t="s">
        <v>45</v>
      </c>
      <c r="E376" s="3" t="s">
        <v>29</v>
      </c>
      <c r="F376" s="3" t="s">
        <v>328</v>
      </c>
      <c r="G376" s="5">
        <v>1</v>
      </c>
      <c r="H376" s="5">
        <v>1</v>
      </c>
      <c r="I376" s="5">
        <v>1</v>
      </c>
      <c r="J376" s="5">
        <v>1</v>
      </c>
      <c r="K376" s="5">
        <v>1</v>
      </c>
      <c r="L376" s="5">
        <v>1</v>
      </c>
      <c r="M376" s="5">
        <v>1</v>
      </c>
      <c r="N376" s="5">
        <v>1</v>
      </c>
      <c r="O376" s="5">
        <v>1</v>
      </c>
      <c r="P376" s="5">
        <v>1</v>
      </c>
      <c r="Q376" s="5">
        <v>1</v>
      </c>
      <c r="R376" s="5">
        <v>1</v>
      </c>
      <c r="S376" cm="1">
        <f t="array" ref="S376">GetLatitude(U376)</f>
        <v>33.911332700000003</v>
      </c>
      <c r="T376" cm="1">
        <f t="array" ref="T376">GetLongitude(U376)</f>
        <v>73.402550599999998</v>
      </c>
      <c r="U376" t="str">
        <f t="shared" si="15"/>
        <v>Kashmir Point, Muree, PK</v>
      </c>
      <c r="V376" t="str" cm="1">
        <f t="array" ref="V376">GetCoordinates(U376)</f>
        <v>33.9113327, 73.4025506</v>
      </c>
      <c r="W376" s="13" cm="1">
        <f t="array" ref="W376">TravelTime(A376,U376,AB376)</f>
        <v>21075</v>
      </c>
      <c r="X376" s="13">
        <f t="shared" si="16"/>
        <v>351.25</v>
      </c>
      <c r="Y376" s="13" cm="1">
        <f t="array" ref="Y376">TravelDistance(A376,U376,AB376)</f>
        <v>437201</v>
      </c>
      <c r="Z376" s="13" t="str">
        <f t="shared" si="17"/>
        <v>437.2km</v>
      </c>
      <c r="AA376" s="14" t="s">
        <v>361</v>
      </c>
      <c r="AB376" t="s">
        <v>355</v>
      </c>
    </row>
    <row r="377" spans="1:28" ht="12.75" x14ac:dyDescent="0.2">
      <c r="A377" s="2" t="s">
        <v>190</v>
      </c>
      <c r="B377" s="2" t="s">
        <v>327</v>
      </c>
      <c r="D377" s="3" t="s">
        <v>28</v>
      </c>
      <c r="E377" s="3" t="s">
        <v>29</v>
      </c>
      <c r="F377" s="3" t="s">
        <v>329</v>
      </c>
      <c r="G377" s="5">
        <v>1</v>
      </c>
      <c r="H377" s="5">
        <v>1</v>
      </c>
      <c r="I377" s="5">
        <v>1</v>
      </c>
      <c r="J377" s="5">
        <v>1</v>
      </c>
      <c r="K377" s="5">
        <v>1</v>
      </c>
      <c r="L377" s="5">
        <v>1</v>
      </c>
      <c r="M377" s="5">
        <v>1</v>
      </c>
      <c r="N377" s="5">
        <v>1</v>
      </c>
      <c r="O377" s="5">
        <v>1</v>
      </c>
      <c r="P377" s="5">
        <v>1</v>
      </c>
      <c r="Q377" s="5">
        <v>1</v>
      </c>
      <c r="R377" s="5">
        <v>1</v>
      </c>
      <c r="S377" cm="1">
        <f t="array" ref="S377">GetLatitude(U377)</f>
        <v>33.8741512</v>
      </c>
      <c r="T377" cm="1">
        <f t="array" ref="T377">GetLongitude(U377)</f>
        <v>73.458021200000005</v>
      </c>
      <c r="U377" t="str">
        <f t="shared" si="15"/>
        <v>Patriata Chair lift, Muree, PK</v>
      </c>
      <c r="V377" t="str" cm="1">
        <f t="array" ref="V377">GetCoordinates(U377)</f>
        <v>33.8741512, 73.4580212</v>
      </c>
      <c r="W377" s="13" cm="1">
        <f t="array" ref="W377">TravelTime(A377,U377,AB377)</f>
        <v>21463</v>
      </c>
      <c r="X377" s="13">
        <f t="shared" si="16"/>
        <v>357.71666666666664</v>
      </c>
      <c r="Y377" s="13" cm="1">
        <f t="array" ref="Y377">TravelDistance(A377,U377,AB377)</f>
        <v>446468</v>
      </c>
      <c r="Z377" s="13" t="str">
        <f t="shared" si="17"/>
        <v>446.47km</v>
      </c>
      <c r="AA377" s="14" t="s">
        <v>361</v>
      </c>
      <c r="AB377" t="s">
        <v>355</v>
      </c>
    </row>
    <row r="378" spans="1:28" ht="12.75" x14ac:dyDescent="0.2">
      <c r="A378" s="2" t="s">
        <v>190</v>
      </c>
      <c r="B378" s="2" t="s">
        <v>327</v>
      </c>
      <c r="D378" s="3" t="s">
        <v>45</v>
      </c>
      <c r="E378" s="3" t="s">
        <v>330</v>
      </c>
      <c r="F378" s="3" t="s">
        <v>331</v>
      </c>
      <c r="G378" s="5">
        <v>1</v>
      </c>
      <c r="H378" s="5">
        <v>1</v>
      </c>
      <c r="I378" s="5">
        <v>1</v>
      </c>
      <c r="J378" s="5">
        <v>1</v>
      </c>
      <c r="K378" s="5">
        <v>1</v>
      </c>
      <c r="L378" s="5">
        <v>1</v>
      </c>
      <c r="M378" s="5">
        <v>1</v>
      </c>
      <c r="N378" s="5">
        <v>1</v>
      </c>
      <c r="O378" s="5">
        <v>1</v>
      </c>
      <c r="P378" s="5">
        <v>1</v>
      </c>
      <c r="Q378" s="5">
        <v>1</v>
      </c>
      <c r="R378" s="5">
        <v>1</v>
      </c>
      <c r="S378" cm="1">
        <f t="array" ref="S378">GetLatitude(U378)</f>
        <v>33.907048899999999</v>
      </c>
      <c r="T378" cm="1">
        <f t="array" ref="T378">GetLongitude(U378)</f>
        <v>73.394515100000007</v>
      </c>
      <c r="U378" t="str">
        <f t="shared" si="15"/>
        <v>GPO, Muree, PK</v>
      </c>
      <c r="V378" t="str" cm="1">
        <f t="array" ref="V378">GetCoordinates(U378)</f>
        <v>33.9070489, 73.3945151</v>
      </c>
      <c r="W378" s="13" cm="1">
        <f t="array" ref="W378">TravelTime(A378,U378,AB378)</f>
        <v>21067</v>
      </c>
      <c r="X378" s="13">
        <f t="shared" si="16"/>
        <v>351.11666666666667</v>
      </c>
      <c r="Y378" s="13" cm="1">
        <f t="array" ref="Y378">TravelDistance(A378,U378,AB378)</f>
        <v>437894</v>
      </c>
      <c r="Z378" s="13" t="str">
        <f t="shared" si="17"/>
        <v>437.89km</v>
      </c>
      <c r="AA378" s="14" t="s">
        <v>361</v>
      </c>
      <c r="AB378" t="s">
        <v>355</v>
      </c>
    </row>
    <row r="379" spans="1:28" ht="15" x14ac:dyDescent="0.25">
      <c r="A379" s="2" t="s">
        <v>190</v>
      </c>
      <c r="B379" s="2" t="s">
        <v>241</v>
      </c>
      <c r="D379" s="9" t="s">
        <v>31</v>
      </c>
      <c r="E379" s="4" t="s">
        <v>21</v>
      </c>
      <c r="F379" s="4" t="s">
        <v>242</v>
      </c>
      <c r="G379" s="5">
        <v>1</v>
      </c>
      <c r="H379" s="5">
        <v>1</v>
      </c>
      <c r="I379" s="5">
        <v>1</v>
      </c>
      <c r="J379" s="5">
        <v>1</v>
      </c>
      <c r="K379" s="5">
        <v>1</v>
      </c>
      <c r="L379" s="5">
        <v>1</v>
      </c>
      <c r="M379" s="5">
        <v>1</v>
      </c>
      <c r="N379" s="5">
        <v>1</v>
      </c>
      <c r="O379" s="5">
        <v>1</v>
      </c>
      <c r="P379" s="5">
        <v>1</v>
      </c>
      <c r="Q379" s="5">
        <v>0</v>
      </c>
      <c r="R379" s="5">
        <v>0</v>
      </c>
      <c r="S379" cm="1">
        <f t="array" ref="S379">GetLatitude(U379)</f>
        <v>34.876194499999997</v>
      </c>
      <c r="T379" cm="1">
        <f t="array" ref="T379">GetLongitude(U379)</f>
        <v>73.693352000000004</v>
      </c>
      <c r="U379" t="str">
        <f t="shared" si="15"/>
        <v>Saif-ul-Muluk Lake, Naran, PK</v>
      </c>
      <c r="V379" t="str" cm="1">
        <f t="array" ref="V379">GetCoordinates(U379)</f>
        <v>34.8761945, 73.6933520</v>
      </c>
      <c r="W379" s="13" t="e" cm="1">
        <f t="array" ref="W379">TravelTime(A379,U379,AB379)</f>
        <v>#VALUE!</v>
      </c>
      <c r="X379" s="13" t="e">
        <f t="shared" si="16"/>
        <v>#VALUE!</v>
      </c>
      <c r="Y379" s="13" cm="1">
        <f t="array" ref="Y379">TravelDistance(A379,U379,AB379)</f>
        <v>625382</v>
      </c>
      <c r="Z379" s="13" t="str">
        <f t="shared" si="17"/>
        <v>625.38km</v>
      </c>
      <c r="AA379" s="14" t="s">
        <v>361</v>
      </c>
      <c r="AB379" t="s">
        <v>355</v>
      </c>
    </row>
    <row r="380" spans="1:28" ht="15" x14ac:dyDescent="0.25">
      <c r="A380" s="2" t="s">
        <v>190</v>
      </c>
      <c r="B380" s="2" t="s">
        <v>241</v>
      </c>
      <c r="D380" s="9" t="s">
        <v>39</v>
      </c>
      <c r="E380" s="4" t="s">
        <v>21</v>
      </c>
      <c r="F380" s="4" t="s">
        <v>243</v>
      </c>
      <c r="G380" s="5">
        <v>1</v>
      </c>
      <c r="H380" s="5">
        <v>1</v>
      </c>
      <c r="I380" s="5">
        <v>1</v>
      </c>
      <c r="J380" s="5">
        <v>1</v>
      </c>
      <c r="K380" s="5">
        <v>1</v>
      </c>
      <c r="L380" s="5">
        <v>1</v>
      </c>
      <c r="M380" s="5">
        <v>1</v>
      </c>
      <c r="N380" s="5">
        <v>1</v>
      </c>
      <c r="O380" s="5">
        <v>1</v>
      </c>
      <c r="P380" s="5">
        <v>1</v>
      </c>
      <c r="Q380" s="5">
        <v>0</v>
      </c>
      <c r="R380" s="5">
        <v>0</v>
      </c>
      <c r="S380" cm="1">
        <f t="array" ref="S380">GetLatitude(U380)</f>
        <v>35.018598099999998</v>
      </c>
      <c r="T380" cm="1">
        <f t="array" ref="T380">GetLongitude(U380)</f>
        <v>74.090226000000001</v>
      </c>
      <c r="U380" t="str">
        <f t="shared" si="15"/>
        <v>Lulusar-Dudipatsar National Park, Naran, PK</v>
      </c>
      <c r="V380" t="str" cm="1">
        <f t="array" ref="V380">GetCoordinates(U380)</f>
        <v>35.0185981, 74.0902260</v>
      </c>
      <c r="W380" s="13" t="e" cm="1">
        <f t="array" ref="W380">TravelTime(A380,U380,AB380)</f>
        <v>#VALUE!</v>
      </c>
      <c r="X380" s="13" t="e">
        <f t="shared" si="16"/>
        <v>#VALUE!</v>
      </c>
      <c r="Y380" s="13" t="e" cm="1">
        <f t="array" ref="Y380">TravelDistance(A380,U380,AB380)</f>
        <v>#VALUE!</v>
      </c>
      <c r="Z380" s="13" t="e">
        <f t="shared" si="17"/>
        <v>#VALUE!</v>
      </c>
      <c r="AA380" s="14" t="s">
        <v>361</v>
      </c>
      <c r="AB380" t="s">
        <v>355</v>
      </c>
    </row>
    <row r="381" spans="1:28" ht="15" x14ac:dyDescent="0.25">
      <c r="A381" s="2" t="s">
        <v>190</v>
      </c>
      <c r="B381" s="6" t="s">
        <v>244</v>
      </c>
      <c r="D381" s="9" t="s">
        <v>28</v>
      </c>
      <c r="E381" s="3" t="s">
        <v>106</v>
      </c>
      <c r="F381" s="4" t="s">
        <v>245</v>
      </c>
      <c r="G381" s="5">
        <v>1</v>
      </c>
      <c r="H381" s="5">
        <v>1</v>
      </c>
      <c r="I381" s="5">
        <v>1</v>
      </c>
      <c r="J381" s="5">
        <v>1</v>
      </c>
      <c r="K381" s="5">
        <v>1</v>
      </c>
      <c r="L381" s="5">
        <v>1</v>
      </c>
      <c r="M381" s="5">
        <v>1</v>
      </c>
      <c r="N381" s="5">
        <v>1</v>
      </c>
      <c r="O381" s="5">
        <v>1</v>
      </c>
      <c r="P381" s="5">
        <v>1</v>
      </c>
      <c r="Q381" s="5">
        <v>1</v>
      </c>
      <c r="R381" s="5">
        <v>1</v>
      </c>
      <c r="S381" cm="1">
        <f t="array" ref="S381">GetLatitude(U381)</f>
        <v>32.087942400000003</v>
      </c>
      <c r="T381" cm="1">
        <f t="array" ref="T381">GetLongitude(U381)</f>
        <v>75.015112700000003</v>
      </c>
      <c r="U381" t="str">
        <f t="shared" si="15"/>
        <v>Kartarpur Sahib Corridor, Narowal, PK</v>
      </c>
      <c r="V381" t="str" cm="1">
        <f t="array" ref="V381">GetCoordinates(U381)</f>
        <v>32.0879424, 75.0151127</v>
      </c>
      <c r="W381" s="13" cm="1">
        <f t="array" ref="W381">TravelTime(A381,U381,AB381)</f>
        <v>9479</v>
      </c>
      <c r="X381" s="13">
        <f t="shared" si="16"/>
        <v>157.98333333333332</v>
      </c>
      <c r="Y381" s="13" cm="1">
        <f t="array" ref="Y381">TravelDistance(A381,U381,AB381)</f>
        <v>135101</v>
      </c>
      <c r="Z381" s="13" t="str">
        <f t="shared" si="17"/>
        <v>135.1km</v>
      </c>
      <c r="AA381" s="14" t="s">
        <v>361</v>
      </c>
      <c r="AB381" t="s">
        <v>355</v>
      </c>
    </row>
    <row r="382" spans="1:28" ht="15" x14ac:dyDescent="0.25">
      <c r="A382" s="2" t="s">
        <v>190</v>
      </c>
      <c r="B382" s="2" t="s">
        <v>246</v>
      </c>
      <c r="D382" s="3" t="s">
        <v>28</v>
      </c>
      <c r="E382" s="4" t="s">
        <v>29</v>
      </c>
      <c r="F382" s="4" t="s">
        <v>247</v>
      </c>
      <c r="G382" s="5">
        <v>1</v>
      </c>
      <c r="H382" s="5">
        <v>1</v>
      </c>
      <c r="I382" s="5">
        <v>1</v>
      </c>
      <c r="J382" s="5">
        <v>1</v>
      </c>
      <c r="K382" s="5">
        <v>1</v>
      </c>
      <c r="L382" s="5">
        <v>1</v>
      </c>
      <c r="M382" s="5">
        <v>1</v>
      </c>
      <c r="N382" s="5">
        <v>1</v>
      </c>
      <c r="O382" s="5">
        <v>1</v>
      </c>
      <c r="P382" s="5">
        <v>1</v>
      </c>
      <c r="Q382" s="5">
        <v>0</v>
      </c>
      <c r="R382" s="5">
        <v>0</v>
      </c>
      <c r="S382" cm="1">
        <f t="array" ref="S382">GetLatitude(U382)</f>
        <v>34.010167299999999</v>
      </c>
      <c r="T382" cm="1">
        <f t="array" ref="T382">GetLongitude(U382)</f>
        <v>71.574333999999993</v>
      </c>
      <c r="U382" t="str">
        <f t="shared" si="15"/>
        <v>Chowk Yadgar, Peshawar, PK</v>
      </c>
      <c r="V382" t="str" cm="1">
        <f t="array" ref="V382">GetCoordinates(U382)</f>
        <v>34.0101673, 71.5743340</v>
      </c>
      <c r="W382" s="13" cm="1">
        <f t="array" ref="W382">TravelTime(A382,U382,AB382)</f>
        <v>20879</v>
      </c>
      <c r="X382" s="13">
        <f t="shared" si="16"/>
        <v>347.98333333333335</v>
      </c>
      <c r="Y382" s="13" cm="1">
        <f t="array" ref="Y382">TravelDistance(A382,U382,AB382)</f>
        <v>512970</v>
      </c>
      <c r="Z382" s="13" t="str">
        <f t="shared" si="17"/>
        <v>512.97km</v>
      </c>
      <c r="AA382" s="14" t="s">
        <v>361</v>
      </c>
      <c r="AB382" t="s">
        <v>355</v>
      </c>
    </row>
    <row r="383" spans="1:28" ht="15" x14ac:dyDescent="0.25">
      <c r="A383" s="2" t="s">
        <v>190</v>
      </c>
      <c r="B383" s="2" t="s">
        <v>246</v>
      </c>
      <c r="D383" s="3" t="s">
        <v>28</v>
      </c>
      <c r="E383" s="4" t="s">
        <v>103</v>
      </c>
      <c r="F383" s="4" t="s">
        <v>248</v>
      </c>
      <c r="G383" s="5">
        <v>1</v>
      </c>
      <c r="H383" s="5">
        <v>1</v>
      </c>
      <c r="I383" s="5">
        <v>1</v>
      </c>
      <c r="J383" s="5">
        <v>1</v>
      </c>
      <c r="K383" s="5">
        <v>1</v>
      </c>
      <c r="L383" s="5">
        <v>1</v>
      </c>
      <c r="M383" s="5">
        <v>1</v>
      </c>
      <c r="N383" s="5">
        <v>1</v>
      </c>
      <c r="O383" s="5">
        <v>1</v>
      </c>
      <c r="P383" s="5">
        <v>1</v>
      </c>
      <c r="Q383" s="5">
        <v>0</v>
      </c>
      <c r="R383" s="5">
        <v>0</v>
      </c>
      <c r="S383" cm="1">
        <f t="array" ref="S383">GetLatitude(U383)</f>
        <v>34.007829299999997</v>
      </c>
      <c r="T383" cm="1">
        <f t="array" ref="T383">GetLongitude(U383)</f>
        <v>71.558206400000003</v>
      </c>
      <c r="U383" t="str">
        <f t="shared" si="15"/>
        <v>Peshawar Gandhara Museum, Peshawar, PK</v>
      </c>
      <c r="V383" t="str" cm="1">
        <f t="array" ref="V383">GetCoordinates(U383)</f>
        <v>34.0078293, 71.5582064</v>
      </c>
      <c r="W383" s="13" cm="1">
        <f t="array" ref="W383">TravelTime(A383,U383,AB383)</f>
        <v>20933</v>
      </c>
      <c r="X383" s="13">
        <f t="shared" si="16"/>
        <v>348.88333333333333</v>
      </c>
      <c r="Y383" s="13" cm="1">
        <f t="array" ref="Y383">TravelDistance(A383,U383,AB383)</f>
        <v>514242</v>
      </c>
      <c r="Z383" s="13" t="str">
        <f t="shared" si="17"/>
        <v>514.24km</v>
      </c>
      <c r="AA383" s="14" t="s">
        <v>361</v>
      </c>
      <c r="AB383" t="s">
        <v>355</v>
      </c>
    </row>
    <row r="384" spans="1:28" ht="15" x14ac:dyDescent="0.25">
      <c r="A384" s="2" t="s">
        <v>190</v>
      </c>
      <c r="B384" s="2" t="s">
        <v>246</v>
      </c>
      <c r="D384" s="3" t="s">
        <v>28</v>
      </c>
      <c r="E384" s="4" t="s">
        <v>29</v>
      </c>
      <c r="F384" s="4" t="s">
        <v>249</v>
      </c>
      <c r="G384" s="5">
        <v>1</v>
      </c>
      <c r="H384" s="5">
        <v>1</v>
      </c>
      <c r="I384" s="5">
        <v>1</v>
      </c>
      <c r="J384" s="5">
        <v>1</v>
      </c>
      <c r="K384" s="5">
        <v>1</v>
      </c>
      <c r="L384" s="5">
        <v>1</v>
      </c>
      <c r="M384" s="5">
        <v>1</v>
      </c>
      <c r="N384" s="5">
        <v>1</v>
      </c>
      <c r="O384" s="5">
        <v>1</v>
      </c>
      <c r="P384" s="5">
        <v>1</v>
      </c>
      <c r="Q384" s="5">
        <v>0</v>
      </c>
      <c r="R384" s="5">
        <v>0</v>
      </c>
      <c r="S384" cm="1">
        <f t="array" ref="S384">GetLatitude(U384)</f>
        <v>34.094135600000001</v>
      </c>
      <c r="T384" cm="1">
        <f t="array" ref="T384">GetLongitude(U384)</f>
        <v>71.157483900000003</v>
      </c>
      <c r="U384" t="str">
        <f t="shared" si="15"/>
        <v>Khyber Pass, Peshawar, PK</v>
      </c>
      <c r="V384" t="str" cm="1">
        <f t="array" ref="V384">GetCoordinates(U384)</f>
        <v>34.0941356, 71.1574839</v>
      </c>
      <c r="W384" s="13" cm="1">
        <f t="array" ref="W384">TravelTime(A384,U384,AB384)</f>
        <v>24956</v>
      </c>
      <c r="X384" s="13">
        <f t="shared" si="16"/>
        <v>415.93333333333334</v>
      </c>
      <c r="Y384" s="13" cm="1">
        <f t="array" ref="Y384">TravelDistance(A384,U384,AB384)</f>
        <v>564896</v>
      </c>
      <c r="Z384" s="13" t="str">
        <f t="shared" si="17"/>
        <v>564.9km</v>
      </c>
      <c r="AA384" s="14" t="s">
        <v>361</v>
      </c>
      <c r="AB384" t="s">
        <v>355</v>
      </c>
    </row>
    <row r="385" spans="1:28" ht="15" x14ac:dyDescent="0.25">
      <c r="A385" s="2" t="s">
        <v>190</v>
      </c>
      <c r="B385" s="2" t="s">
        <v>246</v>
      </c>
      <c r="D385" s="3" t="s">
        <v>28</v>
      </c>
      <c r="E385" s="4" t="s">
        <v>29</v>
      </c>
      <c r="F385" s="4" t="s">
        <v>250</v>
      </c>
      <c r="G385" s="5">
        <v>1</v>
      </c>
      <c r="H385" s="5">
        <v>1</v>
      </c>
      <c r="I385" s="5">
        <v>1</v>
      </c>
      <c r="J385" s="5">
        <v>1</v>
      </c>
      <c r="K385" s="5">
        <v>1</v>
      </c>
      <c r="L385" s="5">
        <v>1</v>
      </c>
      <c r="M385" s="5">
        <v>1</v>
      </c>
      <c r="N385" s="5">
        <v>1</v>
      </c>
      <c r="O385" s="5">
        <v>1</v>
      </c>
      <c r="P385" s="5">
        <v>1</v>
      </c>
      <c r="Q385" s="5">
        <v>0</v>
      </c>
      <c r="R385" s="5">
        <v>0</v>
      </c>
      <c r="S385" cm="1">
        <f t="array" ref="S385">GetLatitude(U385)</f>
        <v>34.000046099999999</v>
      </c>
      <c r="T385" cm="1">
        <f t="array" ref="T385">GetLongitude(U385)</f>
        <v>71.475968199999997</v>
      </c>
      <c r="U385" t="str">
        <f t="shared" si="15"/>
        <v>Islamia College, Peshawar, PK</v>
      </c>
      <c r="V385" t="str" cm="1">
        <f t="array" ref="V385">GetCoordinates(U385)</f>
        <v>34.0000461, 71.4759682</v>
      </c>
      <c r="W385" s="13" cm="1">
        <f t="array" ref="W385">TravelTime(A385,U385,AB385)</f>
        <v>22155</v>
      </c>
      <c r="X385" s="13">
        <f t="shared" si="16"/>
        <v>369.25</v>
      </c>
      <c r="Y385" s="13" cm="1">
        <f t="array" ref="Y385">TravelDistance(A385,U385,AB385)</f>
        <v>523452</v>
      </c>
      <c r="Z385" s="13" t="str">
        <f t="shared" si="17"/>
        <v>523.45km</v>
      </c>
      <c r="AA385" s="14" t="s">
        <v>361</v>
      </c>
      <c r="AB385" t="s">
        <v>355</v>
      </c>
    </row>
    <row r="386" spans="1:28" ht="15" x14ac:dyDescent="0.25">
      <c r="A386" s="2" t="s">
        <v>190</v>
      </c>
      <c r="B386" s="2" t="s">
        <v>246</v>
      </c>
      <c r="D386" s="3" t="s">
        <v>28</v>
      </c>
      <c r="E386" s="4" t="s">
        <v>103</v>
      </c>
      <c r="F386" s="4" t="s">
        <v>251</v>
      </c>
      <c r="G386" s="5">
        <v>1</v>
      </c>
      <c r="H386" s="5">
        <v>1</v>
      </c>
      <c r="I386" s="5">
        <v>1</v>
      </c>
      <c r="J386" s="5">
        <v>1</v>
      </c>
      <c r="K386" s="5">
        <v>1</v>
      </c>
      <c r="L386" s="5">
        <v>1</v>
      </c>
      <c r="M386" s="5">
        <v>1</v>
      </c>
      <c r="N386" s="5">
        <v>1</v>
      </c>
      <c r="O386" s="5">
        <v>1</v>
      </c>
      <c r="P386" s="5">
        <v>1</v>
      </c>
      <c r="Q386" s="5">
        <v>0</v>
      </c>
      <c r="R386" s="5">
        <v>0</v>
      </c>
      <c r="S386" cm="1">
        <f t="array" ref="S386">GetLatitude(U386)</f>
        <v>34.009264600000002</v>
      </c>
      <c r="T386" cm="1">
        <f t="array" ref="T386">GetLongitude(U386)</f>
        <v>71.578644499999996</v>
      </c>
      <c r="U386" t="str">
        <f t="shared" si="15"/>
        <v>Sethi House Museum, Peshawar, PK</v>
      </c>
      <c r="V386" t="str" cm="1">
        <f t="array" ref="V386">GetCoordinates(U386)</f>
        <v>34.0092646, 71.5786445</v>
      </c>
      <c r="W386" s="13" cm="1">
        <f t="array" ref="W386">TravelTime(A386,U386,AB386)</f>
        <v>20942</v>
      </c>
      <c r="X386" s="13">
        <f t="shared" si="16"/>
        <v>349.03333333333336</v>
      </c>
      <c r="Y386" s="13" cm="1">
        <f t="array" ref="Y386">TravelDistance(A386,U386,AB386)</f>
        <v>512673</v>
      </c>
      <c r="Z386" s="13" t="str">
        <f t="shared" si="17"/>
        <v>512.67km</v>
      </c>
      <c r="AA386" s="14" t="s">
        <v>361</v>
      </c>
      <c r="AB386" t="s">
        <v>355</v>
      </c>
    </row>
    <row r="387" spans="1:28" ht="15" x14ac:dyDescent="0.25">
      <c r="A387" s="2" t="s">
        <v>190</v>
      </c>
      <c r="B387" s="2" t="s">
        <v>246</v>
      </c>
      <c r="D387" s="3" t="s">
        <v>20</v>
      </c>
      <c r="E387" s="4" t="s">
        <v>29</v>
      </c>
      <c r="F387" s="4" t="s">
        <v>252</v>
      </c>
      <c r="G387" s="5">
        <v>1</v>
      </c>
      <c r="H387" s="5">
        <v>1</v>
      </c>
      <c r="I387" s="5">
        <v>1</v>
      </c>
      <c r="J387" s="5">
        <v>1</v>
      </c>
      <c r="K387" s="5">
        <v>1</v>
      </c>
      <c r="L387" s="5">
        <v>1</v>
      </c>
      <c r="M387" s="5">
        <v>1</v>
      </c>
      <c r="N387" s="5">
        <v>1</v>
      </c>
      <c r="O387" s="5">
        <v>1</v>
      </c>
      <c r="P387" s="5">
        <v>1</v>
      </c>
      <c r="Q387" s="5">
        <v>0</v>
      </c>
      <c r="R387" s="5">
        <v>0</v>
      </c>
      <c r="S387" cm="1">
        <f t="array" ref="S387">GetLatitude(U387)</f>
        <v>34.0087817</v>
      </c>
      <c r="T387" cm="1">
        <f t="array" ref="T387">GetLongitude(U387)</f>
        <v>71.581667999999993</v>
      </c>
      <c r="U387" t="str">
        <f t="shared" ref="U387:U421" si="18">F387&amp;", "&amp;B387&amp;", "&amp;AA387</f>
        <v>Mughal -Caravanserai Gor Khatri, Peshawar, PK</v>
      </c>
      <c r="V387" t="str" cm="1">
        <f t="array" ref="V387">GetCoordinates(U387)</f>
        <v>34.0087817, 71.5816680</v>
      </c>
      <c r="W387" s="13" cm="1">
        <f t="array" ref="W387">TravelTime(A387,U387,AB387)</f>
        <v>20901</v>
      </c>
      <c r="X387" s="13">
        <f t="shared" ref="X387:X421" si="19">W387/60</f>
        <v>348.35</v>
      </c>
      <c r="Y387" s="13" cm="1">
        <f t="array" ref="Y387">TravelDistance(A387,U387,AB387)</f>
        <v>512418</v>
      </c>
      <c r="Z387" s="13" t="str">
        <f t="shared" ref="Z387:Z421" si="20">ROUND(Y387/1000,2)&amp;"km"</f>
        <v>512.42km</v>
      </c>
      <c r="AA387" s="14" t="s">
        <v>361</v>
      </c>
      <c r="AB387" t="s">
        <v>355</v>
      </c>
    </row>
    <row r="388" spans="1:28" ht="15" x14ac:dyDescent="0.25">
      <c r="A388" s="2" t="s">
        <v>190</v>
      </c>
      <c r="B388" s="2" t="s">
        <v>246</v>
      </c>
      <c r="D388" s="3" t="s">
        <v>31</v>
      </c>
      <c r="E388" s="4" t="s">
        <v>21</v>
      </c>
      <c r="F388" s="4" t="s">
        <v>253</v>
      </c>
      <c r="G388" s="5">
        <v>1</v>
      </c>
      <c r="H388" s="5">
        <v>1</v>
      </c>
      <c r="I388" s="5">
        <v>1</v>
      </c>
      <c r="J388" s="5">
        <v>1</v>
      </c>
      <c r="K388" s="5">
        <v>1</v>
      </c>
      <c r="L388" s="5">
        <v>1</v>
      </c>
      <c r="M388" s="5">
        <v>1</v>
      </c>
      <c r="N388" s="5">
        <v>1</v>
      </c>
      <c r="O388" s="5">
        <v>1</v>
      </c>
      <c r="P388" s="5">
        <v>1</v>
      </c>
      <c r="Q388" s="5">
        <v>0</v>
      </c>
      <c r="R388" s="5">
        <v>0</v>
      </c>
      <c r="S388" cm="1">
        <f t="array" ref="S388">GetLatitude(U388)</f>
        <v>34.164012499999998</v>
      </c>
      <c r="T388" cm="1">
        <f t="array" ref="T388">GetLongitude(U388)</f>
        <v>71.358500000000006</v>
      </c>
      <c r="U388" t="str">
        <f t="shared" si="18"/>
        <v>Warsak Dam, Peshawar, PK</v>
      </c>
      <c r="V388" t="str" cm="1">
        <f t="array" ref="V388">GetCoordinates(U388)</f>
        <v>34.1640125, 71.3585000</v>
      </c>
      <c r="W388" s="13" cm="1">
        <f t="array" ref="W388">TravelTime(A388,U388,AB388)</f>
        <v>23278</v>
      </c>
      <c r="X388" s="13">
        <f t="shared" si="19"/>
        <v>387.96666666666664</v>
      </c>
      <c r="Y388" s="13" cm="1">
        <f t="array" ref="Y388">TravelDistance(A388,U388,AB388)</f>
        <v>541646</v>
      </c>
      <c r="Z388" s="13" t="str">
        <f t="shared" si="20"/>
        <v>541.65km</v>
      </c>
      <c r="AA388" s="14" t="s">
        <v>361</v>
      </c>
      <c r="AB388" t="s">
        <v>355</v>
      </c>
    </row>
    <row r="389" spans="1:28" ht="15" x14ac:dyDescent="0.25">
      <c r="A389" s="2" t="s">
        <v>190</v>
      </c>
      <c r="B389" s="2" t="s">
        <v>246</v>
      </c>
      <c r="D389" s="9" t="s">
        <v>28</v>
      </c>
      <c r="E389" s="4" t="s">
        <v>29</v>
      </c>
      <c r="F389" s="4" t="s">
        <v>254</v>
      </c>
      <c r="G389" s="5">
        <v>1</v>
      </c>
      <c r="H389" s="5">
        <v>1</v>
      </c>
      <c r="I389" s="5">
        <v>1</v>
      </c>
      <c r="J389" s="5">
        <v>1</v>
      </c>
      <c r="K389" s="5">
        <v>1</v>
      </c>
      <c r="L389" s="5">
        <v>1</v>
      </c>
      <c r="M389" s="5">
        <v>1</v>
      </c>
      <c r="N389" s="5">
        <v>1</v>
      </c>
      <c r="O389" s="5">
        <v>1</v>
      </c>
      <c r="P389" s="5">
        <v>1</v>
      </c>
      <c r="Q389" s="5">
        <v>0</v>
      </c>
      <c r="R389" s="5">
        <v>0</v>
      </c>
      <c r="S389" cm="1">
        <f t="array" ref="S389">GetLatitude(U389)</f>
        <v>34.010615000000001</v>
      </c>
      <c r="T389" cm="1">
        <f t="array" ref="T389">GetLongitude(U389)</f>
        <v>71.573205299999998</v>
      </c>
      <c r="U389" t="str">
        <f t="shared" si="18"/>
        <v>Mahabat Khan's Mosque, Peshawar, PK</v>
      </c>
      <c r="V389" t="str" cm="1">
        <f t="array" ref="V389">GetCoordinates(U389)</f>
        <v>34.0106150, 71.5732053</v>
      </c>
      <c r="W389" s="13" cm="1">
        <f t="array" ref="W389">TravelTime(A389,U389,AB389)</f>
        <v>20899</v>
      </c>
      <c r="X389" s="13">
        <f t="shared" si="19"/>
        <v>348.31666666666666</v>
      </c>
      <c r="Y389" s="13" cm="1">
        <f t="array" ref="Y389">TravelDistance(A389,U389,AB389)</f>
        <v>513305</v>
      </c>
      <c r="Z389" s="13" t="str">
        <f t="shared" si="20"/>
        <v>513.31km</v>
      </c>
      <c r="AA389" s="14" t="s">
        <v>361</v>
      </c>
      <c r="AB389" t="s">
        <v>355</v>
      </c>
    </row>
    <row r="390" spans="1:28" ht="15" x14ac:dyDescent="0.25">
      <c r="A390" s="2" t="s">
        <v>190</v>
      </c>
      <c r="B390" s="2" t="s">
        <v>246</v>
      </c>
      <c r="D390" s="3" t="s">
        <v>28</v>
      </c>
      <c r="E390" s="4" t="s">
        <v>29</v>
      </c>
      <c r="F390" s="4" t="s">
        <v>255</v>
      </c>
      <c r="G390" s="5">
        <v>1</v>
      </c>
      <c r="H390" s="5">
        <v>1</v>
      </c>
      <c r="I390" s="5">
        <v>1</v>
      </c>
      <c r="J390" s="5">
        <v>1</v>
      </c>
      <c r="K390" s="5">
        <v>1</v>
      </c>
      <c r="L390" s="5">
        <v>1</v>
      </c>
      <c r="M390" s="5">
        <v>1</v>
      </c>
      <c r="N390" s="5">
        <v>1</v>
      </c>
      <c r="O390" s="5">
        <v>1</v>
      </c>
      <c r="P390" s="5">
        <v>1</v>
      </c>
      <c r="Q390" s="5">
        <v>0</v>
      </c>
      <c r="R390" s="5">
        <v>0</v>
      </c>
      <c r="S390" cm="1">
        <f t="array" ref="S390">GetLatitude(U390)</f>
        <v>34.003429099999998</v>
      </c>
      <c r="T390" cm="1">
        <f t="array" ref="T390">GetLongitude(U390)</f>
        <v>71.378355099999993</v>
      </c>
      <c r="U390" t="str">
        <f t="shared" si="18"/>
        <v>Jamrud Fort, Peshawar, PK</v>
      </c>
      <c r="V390" t="str" cm="1">
        <f t="array" ref="V390">GetCoordinates(U390)</f>
        <v>34.0034291, 71.3783551</v>
      </c>
      <c r="W390" s="13" cm="1">
        <f t="array" ref="W390">TravelTime(A390,U390,AB390)</f>
        <v>22974</v>
      </c>
      <c r="X390" s="13">
        <f t="shared" si="19"/>
        <v>382.9</v>
      </c>
      <c r="Y390" s="13" cm="1">
        <f t="array" ref="Y390">TravelDistance(A390,U390,AB390)</f>
        <v>536946</v>
      </c>
      <c r="Z390" s="13" t="str">
        <f t="shared" si="20"/>
        <v>536.95km</v>
      </c>
      <c r="AA390" s="14" t="s">
        <v>361</v>
      </c>
      <c r="AB390" t="s">
        <v>355</v>
      </c>
    </row>
    <row r="391" spans="1:28" ht="15" x14ac:dyDescent="0.25">
      <c r="A391" s="2" t="s">
        <v>190</v>
      </c>
      <c r="B391" s="2" t="s">
        <v>246</v>
      </c>
      <c r="D391" s="3" t="s">
        <v>28</v>
      </c>
      <c r="E391" s="4" t="s">
        <v>29</v>
      </c>
      <c r="F391" s="4" t="s">
        <v>256</v>
      </c>
      <c r="G391" s="5">
        <v>1</v>
      </c>
      <c r="H391" s="5">
        <v>1</v>
      </c>
      <c r="I391" s="5">
        <v>1</v>
      </c>
      <c r="J391" s="5">
        <v>1</v>
      </c>
      <c r="K391" s="5">
        <v>1</v>
      </c>
      <c r="L391" s="5">
        <v>1</v>
      </c>
      <c r="M391" s="5">
        <v>1</v>
      </c>
      <c r="N391" s="5">
        <v>1</v>
      </c>
      <c r="O391" s="5">
        <v>1</v>
      </c>
      <c r="P391" s="5">
        <v>1</v>
      </c>
      <c r="Q391" s="5">
        <v>0</v>
      </c>
      <c r="R391" s="5">
        <v>0</v>
      </c>
      <c r="S391" cm="1">
        <f t="array" ref="S391">GetLatitude(U391)</f>
        <v>34.009311199999999</v>
      </c>
      <c r="T391" cm="1">
        <f t="array" ref="T391">GetLongitude(U391)</f>
        <v>71.578749299999998</v>
      </c>
      <c r="U391" t="str">
        <f t="shared" si="18"/>
        <v>Sethi Street, Peshawar, PK</v>
      </c>
      <c r="V391" t="str" cm="1">
        <f t="array" ref="V391">GetCoordinates(U391)</f>
        <v>34.0093112, 71.5787493</v>
      </c>
      <c r="W391" s="13" cm="1">
        <f t="array" ref="W391">TravelTime(A391,U391,AB391)</f>
        <v>20939</v>
      </c>
      <c r="X391" s="13">
        <f t="shared" si="19"/>
        <v>348.98333333333335</v>
      </c>
      <c r="Y391" s="13" cm="1">
        <f t="array" ref="Y391">TravelDistance(A391,U391,AB391)</f>
        <v>512662</v>
      </c>
      <c r="Z391" s="13" t="str">
        <f t="shared" si="20"/>
        <v>512.66km</v>
      </c>
      <c r="AA391" s="14" t="s">
        <v>361</v>
      </c>
      <c r="AB391" t="s">
        <v>355</v>
      </c>
    </row>
    <row r="392" spans="1:28" ht="15" x14ac:dyDescent="0.25">
      <c r="A392" s="2" t="s">
        <v>190</v>
      </c>
      <c r="B392" s="2" t="s">
        <v>246</v>
      </c>
      <c r="D392" s="3" t="s">
        <v>28</v>
      </c>
      <c r="E392" s="4" t="s">
        <v>29</v>
      </c>
      <c r="F392" s="4" t="s">
        <v>257</v>
      </c>
      <c r="G392" s="5">
        <v>1</v>
      </c>
      <c r="H392" s="5">
        <v>1</v>
      </c>
      <c r="I392" s="5">
        <v>1</v>
      </c>
      <c r="J392" s="5">
        <v>1</v>
      </c>
      <c r="K392" s="5">
        <v>1</v>
      </c>
      <c r="L392" s="5">
        <v>1</v>
      </c>
      <c r="M392" s="5">
        <v>1</v>
      </c>
      <c r="N392" s="5">
        <v>1</v>
      </c>
      <c r="O392" s="5">
        <v>1</v>
      </c>
      <c r="P392" s="5">
        <v>1</v>
      </c>
      <c r="Q392" s="5">
        <v>0</v>
      </c>
      <c r="R392" s="5">
        <v>0</v>
      </c>
      <c r="S392" cm="1">
        <f t="array" ref="S392">GetLatitude(U392)</f>
        <v>34.0091289</v>
      </c>
      <c r="T392" cm="1">
        <f t="array" ref="T392">GetLongitude(U392)</f>
        <v>71.556253100000006</v>
      </c>
      <c r="U392" t="str">
        <f t="shared" si="18"/>
        <v>Governor's House, Peshawar, PK</v>
      </c>
      <c r="V392" t="str" cm="1">
        <f t="array" ref="V392">GetCoordinates(U392)</f>
        <v>34.0091289, 71.5562531</v>
      </c>
      <c r="W392" s="13" cm="1">
        <f t="array" ref="W392">TravelTime(A392,U392,AB392)</f>
        <v>21073</v>
      </c>
      <c r="X392" s="13">
        <f t="shared" si="19"/>
        <v>351.21666666666664</v>
      </c>
      <c r="Y392" s="13" cm="1">
        <f t="array" ref="Y392">TravelDistance(A392,U392,AB392)</f>
        <v>514966</v>
      </c>
      <c r="Z392" s="13" t="str">
        <f t="shared" si="20"/>
        <v>514.97km</v>
      </c>
      <c r="AA392" s="14" t="s">
        <v>361</v>
      </c>
      <c r="AB392" t="s">
        <v>355</v>
      </c>
    </row>
    <row r="393" spans="1:28" ht="15" x14ac:dyDescent="0.25">
      <c r="A393" s="2" t="s">
        <v>190</v>
      </c>
      <c r="B393" s="2" t="s">
        <v>246</v>
      </c>
      <c r="D393" s="3" t="s">
        <v>28</v>
      </c>
      <c r="E393" s="4" t="s">
        <v>21</v>
      </c>
      <c r="F393" s="4" t="s">
        <v>258</v>
      </c>
      <c r="G393" s="5">
        <v>1</v>
      </c>
      <c r="H393" s="5">
        <v>1</v>
      </c>
      <c r="I393" s="5">
        <v>1</v>
      </c>
      <c r="J393" s="5">
        <v>1</v>
      </c>
      <c r="K393" s="5">
        <v>1</v>
      </c>
      <c r="L393" s="5">
        <v>1</v>
      </c>
      <c r="M393" s="5">
        <v>1</v>
      </c>
      <c r="N393" s="5">
        <v>1</v>
      </c>
      <c r="O393" s="5">
        <v>1</v>
      </c>
      <c r="P393" s="5">
        <v>1</v>
      </c>
      <c r="Q393" s="5">
        <v>0</v>
      </c>
      <c r="R393" s="5">
        <v>0</v>
      </c>
      <c r="S393" cm="1">
        <f t="array" ref="S393">GetLatitude(U393)</f>
        <v>33.981539400000003</v>
      </c>
      <c r="T393" cm="1">
        <f t="array" ref="T393">GetLongitude(U393)</f>
        <v>71.444641599999997</v>
      </c>
      <c r="U393" t="str">
        <f t="shared" si="18"/>
        <v>Tatara Park, Peshawar, PK</v>
      </c>
      <c r="V393" t="str" cm="1">
        <f t="array" ref="V393">GetCoordinates(U393)</f>
        <v>33.9815394, 71.4446416</v>
      </c>
      <c r="W393" s="13" cm="1">
        <f t="array" ref="W393">TravelTime(A393,U393,AB393)</f>
        <v>22142</v>
      </c>
      <c r="X393" s="13">
        <f t="shared" si="19"/>
        <v>369.03333333333336</v>
      </c>
      <c r="Y393" s="13" cm="1">
        <f t="array" ref="Y393">TravelDistance(A393,U393,AB393)</f>
        <v>530170</v>
      </c>
      <c r="Z393" s="13" t="str">
        <f t="shared" si="20"/>
        <v>530.17km</v>
      </c>
      <c r="AA393" s="14" t="s">
        <v>361</v>
      </c>
      <c r="AB393" t="s">
        <v>355</v>
      </c>
    </row>
    <row r="394" spans="1:28" ht="15" x14ac:dyDescent="0.25">
      <c r="A394" s="2" t="s">
        <v>190</v>
      </c>
      <c r="B394" s="2" t="s">
        <v>246</v>
      </c>
      <c r="D394" s="3" t="s">
        <v>28</v>
      </c>
      <c r="E394" s="4" t="s">
        <v>29</v>
      </c>
      <c r="F394" s="4" t="s">
        <v>259</v>
      </c>
      <c r="G394" s="5">
        <v>1</v>
      </c>
      <c r="H394" s="5">
        <v>1</v>
      </c>
      <c r="I394" s="5">
        <v>1</v>
      </c>
      <c r="J394" s="5">
        <v>1</v>
      </c>
      <c r="K394" s="5">
        <v>1</v>
      </c>
      <c r="L394" s="5">
        <v>1</v>
      </c>
      <c r="M394" s="5">
        <v>1</v>
      </c>
      <c r="N394" s="5">
        <v>1</v>
      </c>
      <c r="O394" s="5">
        <v>1</v>
      </c>
      <c r="P394" s="5">
        <v>1</v>
      </c>
      <c r="Q394" s="5">
        <v>0</v>
      </c>
      <c r="R394" s="5">
        <v>0</v>
      </c>
      <c r="S394" cm="1">
        <f t="array" ref="S394">GetLatitude(U394)</f>
        <v>33.912821200000003</v>
      </c>
      <c r="T394" cm="1">
        <f t="array" ref="T394">GetLongitude(U394)</f>
        <v>71.557788200000005</v>
      </c>
      <c r="U394" t="str">
        <f t="shared" si="18"/>
        <v>Kohat Pass : Tribal Gun Factories, Peshawar, PK</v>
      </c>
      <c r="V394" t="str" cm="1">
        <f t="array" ref="V394">GetCoordinates(U394)</f>
        <v>33.9128212, 71.5577882</v>
      </c>
      <c r="W394" s="13" cm="1">
        <f t="array" ref="W394">TravelTime(A394,U394,AB394)</f>
        <v>21727</v>
      </c>
      <c r="X394" s="13">
        <f t="shared" si="19"/>
        <v>362.11666666666667</v>
      </c>
      <c r="Y394" s="13" cm="1">
        <f t="array" ref="Y394">TravelDistance(A394,U394,AB394)</f>
        <v>522821</v>
      </c>
      <c r="Z394" s="13" t="str">
        <f t="shared" si="20"/>
        <v>522.82km</v>
      </c>
      <c r="AA394" s="14" t="s">
        <v>361</v>
      </c>
      <c r="AB394" t="s">
        <v>355</v>
      </c>
    </row>
    <row r="395" spans="1:28" ht="15" x14ac:dyDescent="0.25">
      <c r="A395" s="2" t="s">
        <v>190</v>
      </c>
      <c r="B395" s="2" t="s">
        <v>246</v>
      </c>
      <c r="D395" s="3" t="s">
        <v>28</v>
      </c>
      <c r="E395" s="4" t="s">
        <v>36</v>
      </c>
      <c r="F395" s="4" t="s">
        <v>260</v>
      </c>
      <c r="G395" s="5">
        <v>1</v>
      </c>
      <c r="H395" s="5">
        <v>1</v>
      </c>
      <c r="I395" s="5">
        <v>1</v>
      </c>
      <c r="J395" s="5">
        <v>1</v>
      </c>
      <c r="K395" s="5">
        <v>1</v>
      </c>
      <c r="L395" s="5">
        <v>1</v>
      </c>
      <c r="M395" s="5">
        <v>1</v>
      </c>
      <c r="N395" s="5">
        <v>1</v>
      </c>
      <c r="O395" s="5">
        <v>1</v>
      </c>
      <c r="P395" s="5">
        <v>1</v>
      </c>
      <c r="Q395" s="5">
        <v>0</v>
      </c>
      <c r="R395" s="5">
        <v>0</v>
      </c>
      <c r="S395" cm="1">
        <f t="array" ref="S395">GetLatitude(U395)</f>
        <v>34.007875300000002</v>
      </c>
      <c r="T395" cm="1">
        <f t="array" ref="T395">GetLongitude(U395)</f>
        <v>71.570355300000003</v>
      </c>
      <c r="U395" t="str">
        <f t="shared" si="18"/>
        <v>Qissa Khawani Bazaar, Peshawar, PK</v>
      </c>
      <c r="V395" t="str" cm="1">
        <f t="array" ref="V395">GetCoordinates(U395)</f>
        <v>34.0078753, 71.5703553</v>
      </c>
      <c r="W395" s="13" cm="1">
        <f t="array" ref="W395">TravelTime(A395,U395,AB395)</f>
        <v>21028</v>
      </c>
      <c r="X395" s="13">
        <f t="shared" si="19"/>
        <v>350.46666666666664</v>
      </c>
      <c r="Y395" s="13" cm="1">
        <f t="array" ref="Y395">TravelDistance(A395,U395,AB395)</f>
        <v>514050</v>
      </c>
      <c r="Z395" s="13" t="str">
        <f t="shared" si="20"/>
        <v>514.05km</v>
      </c>
      <c r="AA395" s="14" t="s">
        <v>361</v>
      </c>
      <c r="AB395" t="s">
        <v>355</v>
      </c>
    </row>
    <row r="396" spans="1:28" ht="15" x14ac:dyDescent="0.25">
      <c r="A396" s="2" t="s">
        <v>190</v>
      </c>
      <c r="B396" s="2" t="s">
        <v>246</v>
      </c>
      <c r="D396" s="3" t="s">
        <v>28</v>
      </c>
      <c r="E396" s="4" t="s">
        <v>29</v>
      </c>
      <c r="F396" s="4" t="s">
        <v>261</v>
      </c>
      <c r="G396" s="5">
        <v>1</v>
      </c>
      <c r="H396" s="5">
        <v>1</v>
      </c>
      <c r="I396" s="5">
        <v>1</v>
      </c>
      <c r="J396" s="5">
        <v>1</v>
      </c>
      <c r="K396" s="5">
        <v>1</v>
      </c>
      <c r="L396" s="5">
        <v>1</v>
      </c>
      <c r="M396" s="5">
        <v>1</v>
      </c>
      <c r="N396" s="5">
        <v>1</v>
      </c>
      <c r="O396" s="5">
        <v>1</v>
      </c>
      <c r="P396" s="5">
        <v>1</v>
      </c>
      <c r="Q396" s="5">
        <v>0</v>
      </c>
      <c r="R396" s="5">
        <v>0</v>
      </c>
      <c r="S396" cm="1">
        <f t="array" ref="S396">GetLatitude(U396)</f>
        <v>34.013002</v>
      </c>
      <c r="T396" cm="1">
        <f t="array" ref="T396">GetLongitude(U396)</f>
        <v>71.569798899999995</v>
      </c>
      <c r="U396" t="str">
        <f t="shared" si="18"/>
        <v>Fort Bala Hisar, Peshawar, PK</v>
      </c>
      <c r="V396" t="str" cm="1">
        <f t="array" ref="V396">GetCoordinates(U396)</f>
        <v>34.0130020, 71.5697989</v>
      </c>
      <c r="W396" s="13" cm="1">
        <f t="array" ref="W396">TravelTime(A396,U396,AB396)</f>
        <v>20794</v>
      </c>
      <c r="X396" s="13">
        <f t="shared" si="19"/>
        <v>346.56666666666666</v>
      </c>
      <c r="Y396" s="13" cm="1">
        <f t="array" ref="Y396">TravelDistance(A396,U396,AB396)</f>
        <v>513055</v>
      </c>
      <c r="Z396" s="13" t="str">
        <f t="shared" si="20"/>
        <v>513.06km</v>
      </c>
      <c r="AA396" s="14" t="s">
        <v>361</v>
      </c>
      <c r="AB396" t="s">
        <v>355</v>
      </c>
    </row>
    <row r="397" spans="1:28" ht="15" x14ac:dyDescent="0.25">
      <c r="A397" s="2" t="s">
        <v>190</v>
      </c>
      <c r="B397" s="2" t="s">
        <v>246</v>
      </c>
      <c r="D397" s="3" t="s">
        <v>28</v>
      </c>
      <c r="E397" s="4" t="s">
        <v>29</v>
      </c>
      <c r="F397" s="4" t="s">
        <v>262</v>
      </c>
      <c r="G397" s="5">
        <v>1</v>
      </c>
      <c r="H397" s="5">
        <v>1</v>
      </c>
      <c r="I397" s="5">
        <v>1</v>
      </c>
      <c r="J397" s="5">
        <v>1</v>
      </c>
      <c r="K397" s="5">
        <v>1</v>
      </c>
      <c r="L397" s="5">
        <v>1</v>
      </c>
      <c r="M397" s="5">
        <v>1</v>
      </c>
      <c r="N397" s="5">
        <v>1</v>
      </c>
      <c r="O397" s="5">
        <v>1</v>
      </c>
      <c r="P397" s="5">
        <v>1</v>
      </c>
      <c r="Q397" s="5">
        <v>0</v>
      </c>
      <c r="R397" s="5">
        <v>0</v>
      </c>
      <c r="S397" cm="1">
        <f t="array" ref="S397">GetLatitude(U397)</f>
        <v>34.009792099999999</v>
      </c>
      <c r="T397" cm="1">
        <f t="array" ref="T397">GetLongitude(U397)</f>
        <v>71.575732299999999</v>
      </c>
      <c r="U397" t="str">
        <f t="shared" si="18"/>
        <v>Cunningham Clock Tower, Peshawar, PK</v>
      </c>
      <c r="V397" t="str" cm="1">
        <f t="array" ref="V397">GetCoordinates(U397)</f>
        <v>34.0097921, 71.5757323</v>
      </c>
      <c r="W397" s="13" cm="1">
        <f t="array" ref="W397">TravelTime(A397,U397,AB397)</f>
        <v>20984</v>
      </c>
      <c r="X397" s="13">
        <f t="shared" si="19"/>
        <v>349.73333333333335</v>
      </c>
      <c r="Y397" s="13" cm="1">
        <f t="array" ref="Y397">TravelDistance(A397,U397,AB397)</f>
        <v>513104</v>
      </c>
      <c r="Z397" s="13" t="str">
        <f t="shared" si="20"/>
        <v>513.1km</v>
      </c>
      <c r="AA397" s="14" t="s">
        <v>361</v>
      </c>
      <c r="AB397" t="s">
        <v>355</v>
      </c>
    </row>
    <row r="398" spans="1:28" ht="15" x14ac:dyDescent="0.25">
      <c r="A398" s="2" t="s">
        <v>190</v>
      </c>
      <c r="B398" s="2" t="s">
        <v>246</v>
      </c>
      <c r="D398" s="3" t="s">
        <v>92</v>
      </c>
      <c r="E398" s="4" t="s">
        <v>21</v>
      </c>
      <c r="F398" s="4" t="s">
        <v>263</v>
      </c>
      <c r="G398" s="5">
        <v>1</v>
      </c>
      <c r="H398" s="5">
        <v>1</v>
      </c>
      <c r="I398" s="5">
        <v>1</v>
      </c>
      <c r="J398" s="5">
        <v>1</v>
      </c>
      <c r="K398" s="5">
        <v>1</v>
      </c>
      <c r="L398" s="5">
        <v>1</v>
      </c>
      <c r="M398" s="5">
        <v>1</v>
      </c>
      <c r="N398" s="5">
        <v>1</v>
      </c>
      <c r="O398" s="5">
        <v>1</v>
      </c>
      <c r="P398" s="5">
        <v>1</v>
      </c>
      <c r="Q398" s="5">
        <v>0</v>
      </c>
      <c r="R398" s="5">
        <v>0</v>
      </c>
      <c r="S398" cm="1">
        <f t="array" ref="S398">GetLatitude(U398)</f>
        <v>34.022272999999998</v>
      </c>
      <c r="T398" cm="1">
        <f t="array" ref="T398">GetLongitude(U398)</f>
        <v>71.575584899999996</v>
      </c>
      <c r="U398" t="str">
        <f t="shared" si="18"/>
        <v>Shahi Bagh Gardens, Peshawar, PK</v>
      </c>
      <c r="V398" t="str" cm="1">
        <f t="array" ref="V398">GetCoordinates(U398)</f>
        <v>34.0222730, 71.5755849</v>
      </c>
      <c r="W398" s="13" cm="1">
        <f t="array" ref="W398">TravelTime(A398,U398,AB398)</f>
        <v>20858</v>
      </c>
      <c r="X398" s="13">
        <f t="shared" si="19"/>
        <v>347.63333333333333</v>
      </c>
      <c r="Y398" s="13" cm="1">
        <f t="array" ref="Y398">TravelDistance(A398,U398,AB398)</f>
        <v>513585</v>
      </c>
      <c r="Z398" s="13" t="str">
        <f t="shared" si="20"/>
        <v>513.59km</v>
      </c>
      <c r="AA398" s="14" t="s">
        <v>361</v>
      </c>
      <c r="AB398" t="s">
        <v>355</v>
      </c>
    </row>
    <row r="399" spans="1:28" ht="15" x14ac:dyDescent="0.25">
      <c r="A399" s="2" t="s">
        <v>190</v>
      </c>
      <c r="B399" s="2" t="s">
        <v>246</v>
      </c>
      <c r="D399" s="9" t="s">
        <v>92</v>
      </c>
      <c r="E399" s="4" t="s">
        <v>25</v>
      </c>
      <c r="F399" s="4" t="s">
        <v>264</v>
      </c>
      <c r="G399" s="5">
        <v>1</v>
      </c>
      <c r="H399" s="5">
        <v>1</v>
      </c>
      <c r="I399" s="5">
        <v>1</v>
      </c>
      <c r="J399" s="5">
        <v>1</v>
      </c>
      <c r="K399" s="5">
        <v>1</v>
      </c>
      <c r="L399" s="5">
        <v>1</v>
      </c>
      <c r="M399" s="5">
        <v>1</v>
      </c>
      <c r="N399" s="5">
        <v>1</v>
      </c>
      <c r="O399" s="5">
        <v>1</v>
      </c>
      <c r="P399" s="5">
        <v>1</v>
      </c>
      <c r="Q399" s="5">
        <v>0</v>
      </c>
      <c r="R399" s="5">
        <v>0</v>
      </c>
      <c r="S399" cm="1">
        <f t="array" ref="S399">GetLatitude(U399)</f>
        <v>34.016956899999997</v>
      </c>
      <c r="T399" cm="1">
        <f t="array" ref="T399">GetLongitude(U399)</f>
        <v>71.490008799999998</v>
      </c>
      <c r="U399" t="str">
        <f t="shared" si="18"/>
        <v>Peshawar Zoo, Peshawar, PK</v>
      </c>
      <c r="V399" t="str" cm="1">
        <f t="array" ref="V399">GetCoordinates(U399)</f>
        <v>34.0169569, 71.4900088</v>
      </c>
      <c r="W399" s="13" cm="1">
        <f t="array" ref="W399">TravelTime(A399,U399,AB399)</f>
        <v>22316</v>
      </c>
      <c r="X399" s="13">
        <f t="shared" si="19"/>
        <v>371.93333333333334</v>
      </c>
      <c r="Y399" s="13" cm="1">
        <f t="array" ref="Y399">TravelDistance(A399,U399,AB399)</f>
        <v>524296</v>
      </c>
      <c r="Z399" s="13" t="str">
        <f t="shared" si="20"/>
        <v>524.3km</v>
      </c>
      <c r="AA399" s="14" t="s">
        <v>361</v>
      </c>
      <c r="AB399" t="s">
        <v>355</v>
      </c>
    </row>
    <row r="400" spans="1:28" ht="15" x14ac:dyDescent="0.25">
      <c r="A400" s="2" t="s">
        <v>190</v>
      </c>
      <c r="B400" s="2" t="s">
        <v>246</v>
      </c>
      <c r="D400" s="3" t="s">
        <v>31</v>
      </c>
      <c r="E400" s="4" t="s">
        <v>21</v>
      </c>
      <c r="F400" s="4" t="s">
        <v>265</v>
      </c>
      <c r="G400" s="5">
        <v>1</v>
      </c>
      <c r="H400" s="5">
        <v>1</v>
      </c>
      <c r="I400" s="5">
        <v>1</v>
      </c>
      <c r="J400" s="5">
        <v>1</v>
      </c>
      <c r="K400" s="5">
        <v>1</v>
      </c>
      <c r="L400" s="5">
        <v>1</v>
      </c>
      <c r="M400" s="5">
        <v>1</v>
      </c>
      <c r="N400" s="5">
        <v>1</v>
      </c>
      <c r="O400" s="5">
        <v>1</v>
      </c>
      <c r="P400" s="5">
        <v>1</v>
      </c>
      <c r="Q400" s="5">
        <v>0</v>
      </c>
      <c r="R400" s="5">
        <v>0</v>
      </c>
      <c r="S400" cm="1">
        <f t="array" ref="S400">GetLatitude(U400)</f>
        <v>33.998832299999997</v>
      </c>
      <c r="T400" cm="1">
        <f t="array" ref="T400">GetLongitude(U400)</f>
        <v>71.571656399999995</v>
      </c>
      <c r="U400" t="str">
        <f t="shared" si="18"/>
        <v>Wazir Bagh Gardens, Peshawar, PK</v>
      </c>
      <c r="V400" t="str" cm="1">
        <f t="array" ref="V400">GetCoordinates(U400)</f>
        <v>33.9988323, 71.5716564</v>
      </c>
      <c r="W400" s="13" cm="1">
        <f t="array" ref="W400">TravelTime(A400,U400,AB400)</f>
        <v>21263</v>
      </c>
      <c r="X400" s="13">
        <f t="shared" si="19"/>
        <v>354.38333333333333</v>
      </c>
      <c r="Y400" s="13" cm="1">
        <f t="array" ref="Y400">TravelDistance(A400,U400,AB400)</f>
        <v>515337</v>
      </c>
      <c r="Z400" s="13" t="str">
        <f t="shared" si="20"/>
        <v>515.34km</v>
      </c>
      <c r="AA400" s="14" t="s">
        <v>361</v>
      </c>
      <c r="AB400" t="s">
        <v>355</v>
      </c>
    </row>
    <row r="401" spans="1:28" ht="15" x14ac:dyDescent="0.25">
      <c r="A401" s="2" t="s">
        <v>190</v>
      </c>
      <c r="B401" s="2" t="s">
        <v>246</v>
      </c>
      <c r="D401" s="3" t="s">
        <v>92</v>
      </c>
      <c r="E401" s="4" t="s">
        <v>21</v>
      </c>
      <c r="F401" s="4" t="s">
        <v>266</v>
      </c>
      <c r="G401" s="5">
        <v>1</v>
      </c>
      <c r="H401" s="5">
        <v>1</v>
      </c>
      <c r="I401" s="5">
        <v>1</v>
      </c>
      <c r="J401" s="5">
        <v>1</v>
      </c>
      <c r="K401" s="5">
        <v>1</v>
      </c>
      <c r="L401" s="5">
        <v>1</v>
      </c>
      <c r="M401" s="5">
        <v>1</v>
      </c>
      <c r="N401" s="5">
        <v>1</v>
      </c>
      <c r="O401" s="5">
        <v>1</v>
      </c>
      <c r="P401" s="5">
        <v>1</v>
      </c>
      <c r="Q401" s="5">
        <v>0</v>
      </c>
      <c r="R401" s="5">
        <v>0</v>
      </c>
      <c r="S401" cm="1">
        <f t="array" ref="S401">GetLatitude(U401)</f>
        <v>34.003699699999999</v>
      </c>
      <c r="T401" cm="1">
        <f t="array" ref="T401">GetLongitude(U401)</f>
        <v>71.540869299999997</v>
      </c>
      <c r="U401" t="str">
        <f t="shared" si="18"/>
        <v>Khalid Bin Waled Park, Peshawar, PK</v>
      </c>
      <c r="V401" t="str" cm="1">
        <f t="array" ref="V401">GetCoordinates(U401)</f>
        <v>34.0036997, 71.5408693</v>
      </c>
      <c r="W401" s="13" cm="1">
        <f t="array" ref="W401">TravelTime(A401,U401,AB401)</f>
        <v>21264</v>
      </c>
      <c r="X401" s="13">
        <f t="shared" si="19"/>
        <v>354.4</v>
      </c>
      <c r="Y401" s="13" cm="1">
        <f t="array" ref="Y401">TravelDistance(A401,U401,AB401)</f>
        <v>516139</v>
      </c>
      <c r="Z401" s="13" t="str">
        <f t="shared" si="20"/>
        <v>516.14km</v>
      </c>
      <c r="AA401" s="14" t="s">
        <v>361</v>
      </c>
      <c r="AB401" t="s">
        <v>355</v>
      </c>
    </row>
    <row r="402" spans="1:28" ht="15" x14ac:dyDescent="0.25">
      <c r="A402" s="2" t="s">
        <v>190</v>
      </c>
      <c r="B402" s="2" t="s">
        <v>246</v>
      </c>
      <c r="D402" s="3" t="s">
        <v>28</v>
      </c>
      <c r="E402" s="4" t="s">
        <v>103</v>
      </c>
      <c r="F402" s="4" t="s">
        <v>267</v>
      </c>
      <c r="G402" s="5">
        <v>1</v>
      </c>
      <c r="H402" s="5">
        <v>1</v>
      </c>
      <c r="I402" s="5">
        <v>1</v>
      </c>
      <c r="J402" s="5">
        <v>1</v>
      </c>
      <c r="K402" s="5">
        <v>1</v>
      </c>
      <c r="L402" s="5">
        <v>1</v>
      </c>
      <c r="M402" s="5">
        <v>1</v>
      </c>
      <c r="N402" s="5">
        <v>1</v>
      </c>
      <c r="O402" s="5">
        <v>1</v>
      </c>
      <c r="P402" s="5">
        <v>1</v>
      </c>
      <c r="Q402" s="5">
        <v>0</v>
      </c>
      <c r="R402" s="5">
        <v>0</v>
      </c>
      <c r="S402" cm="1">
        <f t="array" ref="S402">GetLatitude(U402)</f>
        <v>34.181154499999998</v>
      </c>
      <c r="T402" cm="1">
        <f t="array" ref="T402">GetLongitude(U402)</f>
        <v>71.782940699999997</v>
      </c>
      <c r="U402" t="str">
        <f t="shared" si="18"/>
        <v>Pushkalavati Museum, Peshawar, PK</v>
      </c>
      <c r="V402" t="str" cm="1">
        <f t="array" ref="V402">GetCoordinates(U402)</f>
        <v>34.1811545, 71.7829407</v>
      </c>
      <c r="W402" s="13" cm="1">
        <f t="array" ref="W402">TravelTime(A402,U402,AB402)</f>
        <v>20080</v>
      </c>
      <c r="X402" s="13">
        <f t="shared" si="19"/>
        <v>334.66666666666669</v>
      </c>
      <c r="Y402" s="13" cm="1">
        <f t="array" ref="Y402">TravelDistance(A402,U402,AB402)</f>
        <v>494418</v>
      </c>
      <c r="Z402" s="13" t="str">
        <f t="shared" si="20"/>
        <v>494.42km</v>
      </c>
      <c r="AA402" s="14" t="s">
        <v>361</v>
      </c>
      <c r="AB402" t="s">
        <v>355</v>
      </c>
    </row>
    <row r="403" spans="1:28" ht="15" x14ac:dyDescent="0.25">
      <c r="A403" s="2" t="s">
        <v>190</v>
      </c>
      <c r="B403" s="2" t="s">
        <v>246</v>
      </c>
      <c r="D403" s="3" t="s">
        <v>28</v>
      </c>
      <c r="E403" s="4" t="s">
        <v>29</v>
      </c>
      <c r="F403" s="4" t="s">
        <v>268</v>
      </c>
      <c r="G403" s="5">
        <v>1</v>
      </c>
      <c r="H403" s="5">
        <v>1</v>
      </c>
      <c r="I403" s="5">
        <v>1</v>
      </c>
      <c r="J403" s="5">
        <v>1</v>
      </c>
      <c r="K403" s="5">
        <v>1</v>
      </c>
      <c r="L403" s="5">
        <v>1</v>
      </c>
      <c r="M403" s="5">
        <v>1</v>
      </c>
      <c r="N403" s="5">
        <v>1</v>
      </c>
      <c r="O403" s="5">
        <v>1</v>
      </c>
      <c r="P403" s="5">
        <v>1</v>
      </c>
      <c r="Q403" s="5">
        <v>0</v>
      </c>
      <c r="R403" s="5">
        <v>0</v>
      </c>
      <c r="S403" cm="1">
        <f t="array" ref="S403">GetLatitude(U403)</f>
        <v>34.015136599999998</v>
      </c>
      <c r="T403" cm="1">
        <f t="array" ref="T403">GetLongitude(U403)</f>
        <v>71.524915399999998</v>
      </c>
      <c r="U403" t="str">
        <f t="shared" si="18"/>
        <v>Buddhist Stupa (Sahji Ki Dheri), Peshawar, PK</v>
      </c>
      <c r="V403" t="str" cm="1">
        <f t="array" ref="V403">GetCoordinates(U403)</f>
        <v>34.0151366, 71.5249154</v>
      </c>
      <c r="W403" s="13" cm="1">
        <f t="array" ref="W403">TravelTime(A403,U403,AB403)</f>
        <v>21593</v>
      </c>
      <c r="X403" s="13">
        <f t="shared" si="19"/>
        <v>359.88333333333333</v>
      </c>
      <c r="Y403" s="13" cm="1">
        <f t="array" ref="Y403">TravelDistance(A403,U403,AB403)</f>
        <v>517457</v>
      </c>
      <c r="Z403" s="13" t="str">
        <f t="shared" si="20"/>
        <v>517.46km</v>
      </c>
      <c r="AA403" s="14" t="s">
        <v>361</v>
      </c>
      <c r="AB403" t="s">
        <v>355</v>
      </c>
    </row>
    <row r="404" spans="1:28" ht="15" x14ac:dyDescent="0.25">
      <c r="A404" s="2" t="s">
        <v>190</v>
      </c>
      <c r="B404" s="2" t="s">
        <v>246</v>
      </c>
      <c r="D404" s="3" t="s">
        <v>28</v>
      </c>
      <c r="E404" s="4" t="s">
        <v>29</v>
      </c>
      <c r="F404" s="4" t="s">
        <v>269</v>
      </c>
      <c r="G404" s="5">
        <v>1</v>
      </c>
      <c r="H404" s="5">
        <v>1</v>
      </c>
      <c r="I404" s="5">
        <v>1</v>
      </c>
      <c r="J404" s="5">
        <v>1</v>
      </c>
      <c r="K404" s="5">
        <v>1</v>
      </c>
      <c r="L404" s="5">
        <v>1</v>
      </c>
      <c r="M404" s="5">
        <v>1</v>
      </c>
      <c r="N404" s="5">
        <v>1</v>
      </c>
      <c r="O404" s="5">
        <v>1</v>
      </c>
      <c r="P404" s="5">
        <v>1</v>
      </c>
      <c r="Q404" s="5">
        <v>0</v>
      </c>
      <c r="R404" s="5">
        <v>0</v>
      </c>
      <c r="S404" cm="1">
        <f t="array" ref="S404">GetLatitude(U404)</f>
        <v>34.003915999999997</v>
      </c>
      <c r="T404" cm="1">
        <f t="array" ref="T404">GetLongitude(U404)</f>
        <v>71.572867700000003</v>
      </c>
      <c r="U404" t="str">
        <f t="shared" si="18"/>
        <v>St John's Church, Peshawar, PK</v>
      </c>
      <c r="V404" t="str" cm="1">
        <f t="array" ref="V404">GetCoordinates(U404)</f>
        <v>34.0039160, 71.5728677</v>
      </c>
      <c r="W404" s="13" cm="1">
        <f t="array" ref="W404">TravelTime(A404,U404,AB404)</f>
        <v>21054</v>
      </c>
      <c r="X404" s="13">
        <f t="shared" si="19"/>
        <v>350.9</v>
      </c>
      <c r="Y404" s="13" cm="1">
        <f t="array" ref="Y404">TravelDistance(A404,U404,AB404)</f>
        <v>513582</v>
      </c>
      <c r="Z404" s="13" t="str">
        <f t="shared" si="20"/>
        <v>513.58km</v>
      </c>
      <c r="AA404" s="14" t="s">
        <v>361</v>
      </c>
      <c r="AB404" t="s">
        <v>355</v>
      </c>
    </row>
    <row r="405" spans="1:28" ht="15" x14ac:dyDescent="0.25">
      <c r="A405" s="2" t="s">
        <v>190</v>
      </c>
      <c r="B405" s="2" t="s">
        <v>246</v>
      </c>
      <c r="D405" s="3" t="s">
        <v>52</v>
      </c>
      <c r="E405" s="4" t="s">
        <v>29</v>
      </c>
      <c r="F405" s="4" t="s">
        <v>270</v>
      </c>
      <c r="G405" s="5">
        <v>1</v>
      </c>
      <c r="H405" s="5">
        <v>1</v>
      </c>
      <c r="I405" s="5">
        <v>1</v>
      </c>
      <c r="J405" s="5">
        <v>1</v>
      </c>
      <c r="K405" s="5">
        <v>1</v>
      </c>
      <c r="L405" s="5">
        <v>1</v>
      </c>
      <c r="M405" s="5">
        <v>1</v>
      </c>
      <c r="N405" s="5">
        <v>1</v>
      </c>
      <c r="O405" s="5">
        <v>1</v>
      </c>
      <c r="P405" s="5">
        <v>1</v>
      </c>
      <c r="Q405" s="5">
        <v>0</v>
      </c>
      <c r="R405" s="5">
        <v>0</v>
      </c>
      <c r="S405" cm="1">
        <f t="array" ref="S405">GetLatitude(U405)</f>
        <v>34.088965600000002</v>
      </c>
      <c r="T405" cm="1">
        <f t="array" ref="T405">GetLongitude(U405)</f>
        <v>71.746678299999999</v>
      </c>
      <c r="U405" t="str">
        <f t="shared" si="18"/>
        <v>Mughal Bridge, Peshawar, PK</v>
      </c>
      <c r="V405" t="str" cm="1">
        <f t="array" ref="V405">GetCoordinates(U405)</f>
        <v>34.0889656, 71.7466783</v>
      </c>
      <c r="W405" s="13" cm="1">
        <f t="array" ref="W405">TravelTime(A405,U405,AB405)</f>
        <v>19483</v>
      </c>
      <c r="X405" s="13">
        <f t="shared" si="19"/>
        <v>324.71666666666664</v>
      </c>
      <c r="Y405" s="13" cm="1">
        <f t="array" ref="Y405">TravelDistance(A405,U405,AB405)</f>
        <v>492814</v>
      </c>
      <c r="Z405" s="13" t="str">
        <f t="shared" si="20"/>
        <v>492.81km</v>
      </c>
      <c r="AA405" s="14" t="s">
        <v>361</v>
      </c>
      <c r="AB405" t="s">
        <v>355</v>
      </c>
    </row>
    <row r="406" spans="1:28" ht="15" x14ac:dyDescent="0.25">
      <c r="A406" s="2" t="s">
        <v>190</v>
      </c>
      <c r="B406" s="2" t="s">
        <v>246</v>
      </c>
      <c r="D406" s="3" t="s">
        <v>28</v>
      </c>
      <c r="E406" s="4" t="s">
        <v>36</v>
      </c>
      <c r="F406" s="4" t="s">
        <v>271</v>
      </c>
      <c r="G406" s="5">
        <v>1</v>
      </c>
      <c r="H406" s="5">
        <v>1</v>
      </c>
      <c r="I406" s="5">
        <v>1</v>
      </c>
      <c r="J406" s="5">
        <v>1</v>
      </c>
      <c r="K406" s="5">
        <v>1</v>
      </c>
      <c r="L406" s="5">
        <v>1</v>
      </c>
      <c r="M406" s="5">
        <v>1</v>
      </c>
      <c r="N406" s="5">
        <v>1</v>
      </c>
      <c r="O406" s="5">
        <v>1</v>
      </c>
      <c r="P406" s="5">
        <v>1</v>
      </c>
      <c r="Q406" s="5">
        <v>0</v>
      </c>
      <c r="R406" s="5">
        <v>0</v>
      </c>
      <c r="S406" cm="1">
        <f t="array" ref="S406">GetLatitude(U406)</f>
        <v>34.017163799999999</v>
      </c>
      <c r="T406" cm="1">
        <f t="array" ref="T406">GetLongitude(U406)</f>
        <v>71.548371500000002</v>
      </c>
      <c r="U406" t="str">
        <f t="shared" si="18"/>
        <v>Ander Sher Bazaar, Peshawar, PK</v>
      </c>
      <c r="V406" t="str" cm="1">
        <f t="array" ref="V406">GetCoordinates(U406)</f>
        <v>34.0171638, 71.5483715</v>
      </c>
      <c r="W406" s="13" cm="1">
        <f t="array" ref="W406">TravelTime(A406,U406,AB406)</f>
        <v>21150</v>
      </c>
      <c r="X406" s="13">
        <f t="shared" si="19"/>
        <v>352.5</v>
      </c>
      <c r="Y406" s="13" cm="1">
        <f t="array" ref="Y406">TravelDistance(A406,U406,AB406)</f>
        <v>515331</v>
      </c>
      <c r="Z406" s="13" t="str">
        <f t="shared" si="20"/>
        <v>515.33km</v>
      </c>
      <c r="AA406" s="14" t="s">
        <v>361</v>
      </c>
      <c r="AB406" t="s">
        <v>355</v>
      </c>
    </row>
    <row r="407" spans="1:28" ht="15" x14ac:dyDescent="0.25">
      <c r="A407" s="2" t="s">
        <v>190</v>
      </c>
      <c r="B407" s="2" t="s">
        <v>246</v>
      </c>
      <c r="D407" s="3" t="s">
        <v>28</v>
      </c>
      <c r="E407" s="4" t="s">
        <v>29</v>
      </c>
      <c r="F407" s="4" t="s">
        <v>272</v>
      </c>
      <c r="G407" s="5">
        <v>1</v>
      </c>
      <c r="H407" s="5">
        <v>1</v>
      </c>
      <c r="I407" s="5">
        <v>1</v>
      </c>
      <c r="J407" s="5">
        <v>1</v>
      </c>
      <c r="K407" s="5">
        <v>1</v>
      </c>
      <c r="L407" s="5">
        <v>1</v>
      </c>
      <c r="M407" s="5">
        <v>1</v>
      </c>
      <c r="N407" s="5">
        <v>1</v>
      </c>
      <c r="O407" s="5">
        <v>1</v>
      </c>
      <c r="P407" s="5">
        <v>1</v>
      </c>
      <c r="Q407" s="5">
        <v>0</v>
      </c>
      <c r="R407" s="5">
        <v>0</v>
      </c>
      <c r="S407" cm="1">
        <f t="array" ref="S407">GetLatitude(U407)</f>
        <v>34.074815100000002</v>
      </c>
      <c r="T407" cm="1">
        <f t="array" ref="T407">GetLongitude(U407)</f>
        <v>71.208265600000004</v>
      </c>
      <c r="U407" t="str">
        <f t="shared" si="18"/>
        <v>Sphola Stupa, Peshawar, PK</v>
      </c>
      <c r="V407" t="str" cm="1">
        <f t="array" ref="V407">GetCoordinates(U407)</f>
        <v>34.0748151, 71.2082656</v>
      </c>
      <c r="W407" s="13" cm="1">
        <f t="array" ref="W407">TravelTime(A407,U407,AB407)</f>
        <v>25448</v>
      </c>
      <c r="X407" s="13">
        <f t="shared" si="19"/>
        <v>424.13333333333333</v>
      </c>
      <c r="Y407" s="13" cm="1">
        <f t="array" ref="Y407">TravelDistance(A407,U407,AB407)</f>
        <v>570166</v>
      </c>
      <c r="Z407" s="13" t="str">
        <f t="shared" si="20"/>
        <v>570.17km</v>
      </c>
      <c r="AA407" s="14" t="s">
        <v>361</v>
      </c>
      <c r="AB407" t="s">
        <v>355</v>
      </c>
    </row>
    <row r="408" spans="1:28" ht="15" x14ac:dyDescent="0.25">
      <c r="A408" s="2" t="s">
        <v>190</v>
      </c>
      <c r="B408" s="2" t="s">
        <v>246</v>
      </c>
      <c r="D408" s="3" t="s">
        <v>28</v>
      </c>
      <c r="E408" s="4" t="s">
        <v>29</v>
      </c>
      <c r="F408" s="4" t="s">
        <v>273</v>
      </c>
      <c r="G408" s="5">
        <v>1</v>
      </c>
      <c r="H408" s="5">
        <v>1</v>
      </c>
      <c r="I408" s="5">
        <v>1</v>
      </c>
      <c r="J408" s="5">
        <v>1</v>
      </c>
      <c r="K408" s="5">
        <v>1</v>
      </c>
      <c r="L408" s="5">
        <v>1</v>
      </c>
      <c r="M408" s="5">
        <v>1</v>
      </c>
      <c r="N408" s="5">
        <v>1</v>
      </c>
      <c r="O408" s="5">
        <v>1</v>
      </c>
      <c r="P408" s="5">
        <v>1</v>
      </c>
      <c r="Q408" s="5">
        <v>0</v>
      </c>
      <c r="R408" s="5">
        <v>0</v>
      </c>
      <c r="S408" cm="1">
        <f t="array" ref="S408">GetLatitude(U408)</f>
        <v>33.993445100000002</v>
      </c>
      <c r="T408" cm="1">
        <f t="array" ref="T408">GetLongitude(U408)</f>
        <v>71.571653499999996</v>
      </c>
      <c r="U408" t="str">
        <f t="shared" si="18"/>
        <v>Durrani Graveyard, Peshawar, PK</v>
      </c>
      <c r="V408" t="str" cm="1">
        <f t="array" ref="V408">GetCoordinates(U408)</f>
        <v>33.9934451, 71.5716535</v>
      </c>
      <c r="W408" s="13" cm="1">
        <f t="array" ref="W408">TravelTime(A408,U408,AB408)</f>
        <v>21171</v>
      </c>
      <c r="X408" s="13">
        <f t="shared" si="19"/>
        <v>352.85</v>
      </c>
      <c r="Y408" s="13" cm="1">
        <f t="array" ref="Y408">TravelDistance(A408,U408,AB408)</f>
        <v>514978</v>
      </c>
      <c r="Z408" s="13" t="str">
        <f t="shared" si="20"/>
        <v>514.98km</v>
      </c>
      <c r="AA408" s="14" t="s">
        <v>361</v>
      </c>
      <c r="AB408" t="s">
        <v>355</v>
      </c>
    </row>
    <row r="409" spans="1:28" ht="15" x14ac:dyDescent="0.25">
      <c r="A409" s="2" t="s">
        <v>190</v>
      </c>
      <c r="B409" s="2" t="s">
        <v>246</v>
      </c>
      <c r="D409" s="10" t="s">
        <v>28</v>
      </c>
      <c r="E409" s="4" t="s">
        <v>29</v>
      </c>
      <c r="F409" s="4" t="s">
        <v>274</v>
      </c>
      <c r="G409" s="5">
        <v>1</v>
      </c>
      <c r="H409" s="5">
        <v>1</v>
      </c>
      <c r="I409" s="5">
        <v>1</v>
      </c>
      <c r="J409" s="5">
        <v>1</v>
      </c>
      <c r="K409" s="5">
        <v>1</v>
      </c>
      <c r="L409" s="5">
        <v>1</v>
      </c>
      <c r="M409" s="5">
        <v>1</v>
      </c>
      <c r="N409" s="5">
        <v>1</v>
      </c>
      <c r="O409" s="5">
        <v>1</v>
      </c>
      <c r="P409" s="5">
        <v>1</v>
      </c>
      <c r="Q409" s="5">
        <v>0</v>
      </c>
      <c r="R409" s="5">
        <v>0</v>
      </c>
      <c r="S409" cm="1">
        <f t="array" ref="S409">GetLatitude(U409)</f>
        <v>34.013002</v>
      </c>
      <c r="T409" cm="1">
        <f t="array" ref="T409">GetLongitude(U409)</f>
        <v>71.569798899999995</v>
      </c>
      <c r="U409" t="str">
        <f t="shared" si="18"/>
        <v>Balahisar Attock Fort, Peshawar, PK</v>
      </c>
      <c r="V409" t="str" cm="1">
        <f t="array" ref="V409">GetCoordinates(U409)</f>
        <v>34.0130020, 71.5697989</v>
      </c>
      <c r="W409" s="13" cm="1">
        <f t="array" ref="W409">TravelTime(A409,U409,AB409)</f>
        <v>20794</v>
      </c>
      <c r="X409" s="13">
        <f t="shared" si="19"/>
        <v>346.56666666666666</v>
      </c>
      <c r="Y409" s="13" cm="1">
        <f t="array" ref="Y409">TravelDistance(A409,U409,AB409)</f>
        <v>513055</v>
      </c>
      <c r="Z409" s="13" t="str">
        <f t="shared" si="20"/>
        <v>513.06km</v>
      </c>
      <c r="AA409" s="14" t="s">
        <v>361</v>
      </c>
      <c r="AB409" t="s">
        <v>355</v>
      </c>
    </row>
    <row r="410" spans="1:28" ht="12.75" x14ac:dyDescent="0.2">
      <c r="A410" s="2" t="s">
        <v>190</v>
      </c>
      <c r="B410" s="2" t="s">
        <v>275</v>
      </c>
      <c r="D410" s="3" t="s">
        <v>28</v>
      </c>
      <c r="E410" s="3" t="s">
        <v>120</v>
      </c>
      <c r="F410" s="3" t="s">
        <v>276</v>
      </c>
      <c r="G410" s="5">
        <v>1</v>
      </c>
      <c r="H410" s="5">
        <v>1</v>
      </c>
      <c r="I410" s="5">
        <v>1</v>
      </c>
      <c r="J410" s="5">
        <v>1</v>
      </c>
      <c r="K410" s="5">
        <v>1</v>
      </c>
      <c r="L410" s="5">
        <v>1</v>
      </c>
      <c r="M410" s="5">
        <v>1</v>
      </c>
      <c r="N410" s="5">
        <v>1</v>
      </c>
      <c r="O410" s="5">
        <v>0</v>
      </c>
      <c r="P410" s="5">
        <v>0</v>
      </c>
      <c r="Q410" s="5">
        <v>0</v>
      </c>
      <c r="R410" s="5">
        <v>0</v>
      </c>
      <c r="S410" cm="1">
        <f t="array" ref="S410">GetLatitude(U410)</f>
        <v>32.4915649</v>
      </c>
      <c r="T410" cm="1">
        <f t="array" ref="T410">GetLongitude(U410)</f>
        <v>74.543009799999993</v>
      </c>
      <c r="U410" t="str">
        <f t="shared" si="18"/>
        <v>Iqbal Manzil, Sialkot, PK</v>
      </c>
      <c r="V410" t="str" cm="1">
        <f t="array" ref="V410">GetCoordinates(U410)</f>
        <v>32.4915649, 74.5430098</v>
      </c>
      <c r="W410" s="13" cm="1">
        <f t="array" ref="W410">TravelTime(A410,U410,AB410)</f>
        <v>7386</v>
      </c>
      <c r="X410" s="13">
        <f t="shared" si="19"/>
        <v>123.1</v>
      </c>
      <c r="Y410" s="13" cm="1">
        <f t="array" ref="Y410">TravelDistance(A410,U410,AB410)</f>
        <v>131356</v>
      </c>
      <c r="Z410" s="13" t="str">
        <f t="shared" si="20"/>
        <v>131.36km</v>
      </c>
      <c r="AA410" s="14" t="s">
        <v>361</v>
      </c>
      <c r="AB410" t="s">
        <v>355</v>
      </c>
    </row>
    <row r="411" spans="1:28" ht="12.75" x14ac:dyDescent="0.2">
      <c r="A411" s="2" t="s">
        <v>190</v>
      </c>
      <c r="B411" s="2" t="s">
        <v>275</v>
      </c>
      <c r="D411" s="3" t="s">
        <v>28</v>
      </c>
      <c r="E411" s="3" t="s">
        <v>277</v>
      </c>
      <c r="F411" s="3" t="s">
        <v>278</v>
      </c>
      <c r="G411" s="5">
        <v>1</v>
      </c>
      <c r="H411" s="5">
        <v>1</v>
      </c>
      <c r="I411" s="5">
        <v>1</v>
      </c>
      <c r="J411" s="5">
        <v>1</v>
      </c>
      <c r="K411" s="5">
        <v>1</v>
      </c>
      <c r="L411" s="5">
        <v>1</v>
      </c>
      <c r="M411" s="5">
        <v>1</v>
      </c>
      <c r="N411" s="5">
        <v>1</v>
      </c>
      <c r="O411" s="5">
        <v>0</v>
      </c>
      <c r="P411" s="5">
        <v>0</v>
      </c>
      <c r="Q411" s="5">
        <v>0</v>
      </c>
      <c r="R411" s="5">
        <v>0</v>
      </c>
      <c r="S411" cm="1">
        <f t="array" ref="S411">GetLatitude(U411)</f>
        <v>32.490892600000002</v>
      </c>
      <c r="T411" cm="1">
        <f t="array" ref="T411">GetLongitude(U411)</f>
        <v>74.545046600000006</v>
      </c>
      <c r="U411" t="str">
        <f t="shared" si="18"/>
        <v>Shawala Teja Singh Temple, Sialkot, PK</v>
      </c>
      <c r="V411" t="str" cm="1">
        <f t="array" ref="V411">GetCoordinates(U411)</f>
        <v>32.4908926, 74.5450466</v>
      </c>
      <c r="W411" s="13" cm="1">
        <f t="array" ref="W411">TravelTime(A411,U411,AB411)</f>
        <v>7440</v>
      </c>
      <c r="X411" s="13">
        <f t="shared" si="19"/>
        <v>124</v>
      </c>
      <c r="Y411" s="13" cm="1">
        <f t="array" ref="Y411">TravelDistance(A411,U411,AB411)</f>
        <v>131394</v>
      </c>
      <c r="Z411" s="13" t="str">
        <f t="shared" si="20"/>
        <v>131.39km</v>
      </c>
      <c r="AA411" s="14" t="s">
        <v>361</v>
      </c>
      <c r="AB411" t="s">
        <v>355</v>
      </c>
    </row>
    <row r="412" spans="1:28" ht="12.75" x14ac:dyDescent="0.2">
      <c r="A412" s="2" t="s">
        <v>190</v>
      </c>
      <c r="B412" s="2" t="s">
        <v>275</v>
      </c>
      <c r="D412" s="3" t="s">
        <v>28</v>
      </c>
      <c r="E412" s="3" t="s">
        <v>106</v>
      </c>
      <c r="F412" s="3" t="s">
        <v>107</v>
      </c>
      <c r="G412" s="5">
        <v>1</v>
      </c>
      <c r="H412" s="5">
        <v>1</v>
      </c>
      <c r="I412" s="5">
        <v>1</v>
      </c>
      <c r="J412" s="5">
        <v>1</v>
      </c>
      <c r="K412" s="5">
        <v>1</v>
      </c>
      <c r="L412" s="5">
        <v>1</v>
      </c>
      <c r="M412" s="5">
        <v>1</v>
      </c>
      <c r="N412" s="5">
        <v>1</v>
      </c>
      <c r="O412" s="5">
        <v>0</v>
      </c>
      <c r="P412" s="5">
        <v>0</v>
      </c>
      <c r="Q412" s="5">
        <v>0</v>
      </c>
      <c r="R412" s="5">
        <v>0</v>
      </c>
      <c r="S412" cm="1">
        <f t="array" ref="S412">GetLatitude(U412)</f>
        <v>32.516179700000002</v>
      </c>
      <c r="T412" cm="1">
        <f t="array" ref="T412">GetLongitude(U412)</f>
        <v>74.556417499999995</v>
      </c>
      <c r="U412" t="str">
        <f t="shared" si="18"/>
        <v>Clock Tower, Sialkot, PK</v>
      </c>
      <c r="V412" t="str" cm="1">
        <f t="array" ref="V412">GetCoordinates(U412)</f>
        <v>32.5161797, 74.5564175</v>
      </c>
      <c r="W412" s="13" cm="1">
        <f t="array" ref="W412">TravelTime(A412,U412,AB412)</f>
        <v>7766</v>
      </c>
      <c r="X412" s="13">
        <f t="shared" si="19"/>
        <v>129.43333333333334</v>
      </c>
      <c r="Y412" s="13" cm="1">
        <f t="array" ref="Y412">TravelDistance(A412,U412,AB412)</f>
        <v>140132</v>
      </c>
      <c r="Z412" s="13" t="str">
        <f t="shared" si="20"/>
        <v>140.13km</v>
      </c>
      <c r="AA412" s="14" t="s">
        <v>361</v>
      </c>
      <c r="AB412" t="s">
        <v>355</v>
      </c>
    </row>
    <row r="413" spans="1:28" ht="12.75" x14ac:dyDescent="0.2">
      <c r="A413" s="2" t="s">
        <v>190</v>
      </c>
      <c r="B413" s="2" t="s">
        <v>275</v>
      </c>
      <c r="D413" s="3" t="s">
        <v>52</v>
      </c>
      <c r="E413" s="3" t="s">
        <v>120</v>
      </c>
      <c r="F413" s="3" t="s">
        <v>279</v>
      </c>
      <c r="G413" s="5">
        <v>1</v>
      </c>
      <c r="H413" s="5">
        <v>1</v>
      </c>
      <c r="I413" s="5">
        <v>1</v>
      </c>
      <c r="J413" s="5">
        <v>1</v>
      </c>
      <c r="K413" s="5">
        <v>1</v>
      </c>
      <c r="L413" s="5">
        <v>1</v>
      </c>
      <c r="M413" s="5">
        <v>1</v>
      </c>
      <c r="N413" s="5">
        <v>1</v>
      </c>
      <c r="O413" s="5">
        <v>1</v>
      </c>
      <c r="P413" s="5">
        <v>1</v>
      </c>
      <c r="Q413" s="5">
        <v>1</v>
      </c>
      <c r="R413" s="5">
        <v>1</v>
      </c>
      <c r="S413" cm="1">
        <f t="array" ref="S413">GetLatitude(U413)</f>
        <v>32.493735200000003</v>
      </c>
      <c r="T413" cm="1">
        <f t="array" ref="T413">GetLongitude(U413)</f>
        <v>74.541567900000004</v>
      </c>
      <c r="U413" t="str">
        <f t="shared" si="18"/>
        <v>Sialkot Fort, Sialkot, PK</v>
      </c>
      <c r="V413" t="str" cm="1">
        <f t="array" ref="V413">GetCoordinates(U413)</f>
        <v>32.4937352, 74.5415679</v>
      </c>
      <c r="W413" s="13" cm="1">
        <f t="array" ref="W413">TravelTime(A413,U413,AB413)</f>
        <v>7533</v>
      </c>
      <c r="X413" s="13">
        <f t="shared" si="19"/>
        <v>125.55</v>
      </c>
      <c r="Y413" s="13" cm="1">
        <f t="array" ref="Y413">TravelDistance(A413,U413,AB413)</f>
        <v>131722</v>
      </c>
      <c r="Z413" s="13" t="str">
        <f t="shared" si="20"/>
        <v>131.72km</v>
      </c>
      <c r="AA413" s="14" t="s">
        <v>361</v>
      </c>
      <c r="AB413" t="s">
        <v>355</v>
      </c>
    </row>
    <row r="414" spans="1:28" ht="15" x14ac:dyDescent="0.25">
      <c r="A414" s="2" t="s">
        <v>190</v>
      </c>
      <c r="B414" s="2" t="s">
        <v>280</v>
      </c>
      <c r="D414" s="3" t="s">
        <v>28</v>
      </c>
      <c r="E414" s="4" t="s">
        <v>36</v>
      </c>
      <c r="F414" s="4" t="s">
        <v>282</v>
      </c>
      <c r="G414" s="5">
        <v>1</v>
      </c>
      <c r="H414" s="5">
        <v>1</v>
      </c>
      <c r="I414" s="5">
        <v>1</v>
      </c>
      <c r="J414" s="5">
        <v>1</v>
      </c>
      <c r="K414" s="5">
        <v>1</v>
      </c>
      <c r="L414" s="5">
        <v>1</v>
      </c>
      <c r="M414" s="5">
        <v>1</v>
      </c>
      <c r="N414" s="5">
        <v>1</v>
      </c>
      <c r="O414" s="5">
        <v>1</v>
      </c>
      <c r="P414" s="5">
        <v>1</v>
      </c>
      <c r="Q414" s="5">
        <v>0</v>
      </c>
      <c r="R414" s="5">
        <v>0</v>
      </c>
      <c r="S414" cm="1">
        <f t="array" ref="S414">GetLatitude(U414)</f>
        <v>35.490202199999999</v>
      </c>
      <c r="T414" cm="1">
        <f t="array" ref="T414">GetLongitude(U414)</f>
        <v>72.579633099999995</v>
      </c>
      <c r="U414" t="str">
        <f t="shared" si="18"/>
        <v>Kalam Bazaar, Swat, PK</v>
      </c>
      <c r="V414" t="str" cm="1">
        <f t="array" ref="V414">GetCoordinates(U414)</f>
        <v>35.4902022, 72.5796331</v>
      </c>
      <c r="W414" s="13" t="e" cm="1">
        <f t="array" ref="W414">TravelTime(A414,U414,AB414)</f>
        <v>#VALUE!</v>
      </c>
      <c r="X414" s="13" t="e">
        <f t="shared" si="19"/>
        <v>#VALUE!</v>
      </c>
      <c r="Y414" s="13" cm="1">
        <f t="array" ref="Y414">TravelDistance(A414,U414,AB414)</f>
        <v>661640</v>
      </c>
      <c r="Z414" s="13" t="str">
        <f t="shared" si="20"/>
        <v>661.64km</v>
      </c>
      <c r="AA414" s="14" t="s">
        <v>361</v>
      </c>
      <c r="AB414" t="s">
        <v>355</v>
      </c>
    </row>
    <row r="415" spans="1:28" ht="12.75" x14ac:dyDescent="0.2">
      <c r="A415" s="2" t="s">
        <v>190</v>
      </c>
      <c r="B415" s="2" t="s">
        <v>332</v>
      </c>
      <c r="D415" s="3" t="s">
        <v>28</v>
      </c>
      <c r="E415" s="3" t="s">
        <v>103</v>
      </c>
      <c r="F415" s="3" t="s">
        <v>333</v>
      </c>
      <c r="G415" s="5">
        <v>1</v>
      </c>
      <c r="H415" s="5">
        <v>1</v>
      </c>
      <c r="I415" s="5">
        <v>1</v>
      </c>
      <c r="J415" s="5">
        <v>1</v>
      </c>
      <c r="K415" s="5">
        <v>1</v>
      </c>
      <c r="L415" s="5">
        <v>1</v>
      </c>
      <c r="M415" s="5">
        <v>1</v>
      </c>
      <c r="N415" s="5">
        <v>1</v>
      </c>
      <c r="O415" s="5">
        <v>1</v>
      </c>
      <c r="P415" s="5">
        <v>1</v>
      </c>
      <c r="Q415" s="5">
        <v>1</v>
      </c>
      <c r="R415" s="5">
        <v>1</v>
      </c>
      <c r="S415" cm="1">
        <f t="array" ref="S415">GetLatitude(U415)</f>
        <v>33.745936</v>
      </c>
      <c r="T415" cm="1">
        <f t="array" ref="T415">GetLongitude(U415)</f>
        <v>72.818689000000006</v>
      </c>
      <c r="U415" t="str">
        <f t="shared" si="18"/>
        <v>Taxila Museum, Taxila, PK</v>
      </c>
      <c r="V415" t="str" cm="1">
        <f t="array" ref="V415">GetCoordinates(U415)</f>
        <v>33.7459360, 72.8186890</v>
      </c>
      <c r="W415" s="13" cm="1">
        <f t="array" ref="W415">TravelTime(A415,U415,AB415)</f>
        <v>16608</v>
      </c>
      <c r="X415" s="13">
        <f t="shared" si="19"/>
        <v>276.8</v>
      </c>
      <c r="Y415" s="13" cm="1">
        <f t="array" ref="Y415">TravelDistance(A415,U415,AB415)</f>
        <v>378325</v>
      </c>
      <c r="Z415" s="13" t="str">
        <f t="shared" si="20"/>
        <v>378.33km</v>
      </c>
      <c r="AA415" s="14" t="s">
        <v>361</v>
      </c>
      <c r="AB415" t="s">
        <v>355</v>
      </c>
    </row>
    <row r="416" spans="1:28" ht="12.75" x14ac:dyDescent="0.2">
      <c r="A416" s="2" t="s">
        <v>190</v>
      </c>
      <c r="B416" s="2" t="s">
        <v>332</v>
      </c>
      <c r="D416" s="3" t="s">
        <v>28</v>
      </c>
      <c r="E416" s="3" t="s">
        <v>29</v>
      </c>
      <c r="F416" s="3" t="s">
        <v>334</v>
      </c>
      <c r="G416" s="5">
        <v>1</v>
      </c>
      <c r="H416" s="5">
        <v>1</v>
      </c>
      <c r="I416" s="5">
        <v>1</v>
      </c>
      <c r="J416" s="5">
        <v>1</v>
      </c>
      <c r="K416" s="5">
        <v>1</v>
      </c>
      <c r="L416" s="5">
        <v>1</v>
      </c>
      <c r="M416" s="5">
        <v>1</v>
      </c>
      <c r="N416" s="5">
        <v>1</v>
      </c>
      <c r="O416" s="5">
        <v>1</v>
      </c>
      <c r="P416" s="5">
        <v>1</v>
      </c>
      <c r="Q416" s="5">
        <v>1</v>
      </c>
      <c r="R416" s="5">
        <v>1</v>
      </c>
      <c r="S416" cm="1">
        <f t="array" ref="S416">GetLatitude(U416)</f>
        <v>33.764953599999998</v>
      </c>
      <c r="T416" cm="1">
        <f t="array" ref="T416">GetLongitude(U416)</f>
        <v>72.874870299999998</v>
      </c>
      <c r="U416" t="str">
        <f t="shared" si="18"/>
        <v>Julian Buddhist Monastery, Taxila, PK</v>
      </c>
      <c r="V416" t="str" cm="1">
        <f t="array" ref="V416">GetCoordinates(U416)</f>
        <v>33.7649536, 72.8748703</v>
      </c>
      <c r="W416" s="13" cm="1">
        <f t="array" ref="W416">TravelTime(A416,U416,AB416)</f>
        <v>17609</v>
      </c>
      <c r="X416" s="13">
        <f t="shared" si="19"/>
        <v>293.48333333333335</v>
      </c>
      <c r="Y416" s="13" cm="1">
        <f t="array" ref="Y416">TravelDistance(A416,U416,AB416)</f>
        <v>385280</v>
      </c>
      <c r="Z416" s="13" t="str">
        <f t="shared" si="20"/>
        <v>385.28km</v>
      </c>
      <c r="AA416" s="14" t="s">
        <v>361</v>
      </c>
      <c r="AB416" t="s">
        <v>355</v>
      </c>
    </row>
    <row r="417" spans="1:28" ht="12.75" x14ac:dyDescent="0.2">
      <c r="A417" s="2" t="s">
        <v>190</v>
      </c>
      <c r="B417" s="2" t="s">
        <v>332</v>
      </c>
      <c r="D417" s="3" t="s">
        <v>28</v>
      </c>
      <c r="E417" s="3" t="s">
        <v>29</v>
      </c>
      <c r="F417" s="3" t="s">
        <v>335</v>
      </c>
      <c r="G417" s="5">
        <v>1</v>
      </c>
      <c r="H417" s="5">
        <v>1</v>
      </c>
      <c r="I417" s="5">
        <v>1</v>
      </c>
      <c r="J417" s="5">
        <v>1</v>
      </c>
      <c r="K417" s="5">
        <v>1</v>
      </c>
      <c r="L417" s="5">
        <v>1</v>
      </c>
      <c r="M417" s="5">
        <v>1</v>
      </c>
      <c r="N417" s="5">
        <v>1</v>
      </c>
      <c r="O417" s="5">
        <v>1</v>
      </c>
      <c r="P417" s="5">
        <v>1</v>
      </c>
      <c r="Q417" s="5">
        <v>1</v>
      </c>
      <c r="R417" s="5">
        <v>1</v>
      </c>
      <c r="S417" cm="1">
        <f t="array" ref="S417">GetLatitude(U417)</f>
        <v>33.764953599999998</v>
      </c>
      <c r="T417" cm="1">
        <f t="array" ref="T417">GetLongitude(U417)</f>
        <v>72.874870299999998</v>
      </c>
      <c r="U417" t="str">
        <f t="shared" si="18"/>
        <v>Taxila Ruins, Taxila, PK</v>
      </c>
      <c r="V417" t="str" cm="1">
        <f t="array" ref="V417">GetCoordinates(U417)</f>
        <v>33.7649536, 72.8748703</v>
      </c>
      <c r="W417" s="13" cm="1">
        <f t="array" ref="W417">TravelTime(A417,U417,AB417)</f>
        <v>17609</v>
      </c>
      <c r="X417" s="13">
        <f t="shared" si="19"/>
        <v>293.48333333333335</v>
      </c>
      <c r="Y417" s="13" cm="1">
        <f t="array" ref="Y417">TravelDistance(A417,U417,AB417)</f>
        <v>385280</v>
      </c>
      <c r="Z417" s="13" t="str">
        <f t="shared" si="20"/>
        <v>385.28km</v>
      </c>
      <c r="AA417" s="14" t="s">
        <v>361</v>
      </c>
      <c r="AB417" t="s">
        <v>355</v>
      </c>
    </row>
    <row r="418" spans="1:28" ht="12.75" x14ac:dyDescent="0.2">
      <c r="A418" s="2" t="s">
        <v>190</v>
      </c>
      <c r="B418" s="2" t="s">
        <v>332</v>
      </c>
      <c r="D418" s="3" t="s">
        <v>28</v>
      </c>
      <c r="E418" s="3" t="s">
        <v>29</v>
      </c>
      <c r="F418" s="3" t="s">
        <v>336</v>
      </c>
      <c r="G418" s="5">
        <v>1</v>
      </c>
      <c r="H418" s="5">
        <v>1</v>
      </c>
      <c r="I418" s="5">
        <v>1</v>
      </c>
      <c r="J418" s="5">
        <v>1</v>
      </c>
      <c r="K418" s="5">
        <v>1</v>
      </c>
      <c r="L418" s="5">
        <v>1</v>
      </c>
      <c r="M418" s="5">
        <v>1</v>
      </c>
      <c r="N418" s="5">
        <v>1</v>
      </c>
      <c r="O418" s="5">
        <v>1</v>
      </c>
      <c r="P418" s="5">
        <v>1</v>
      </c>
      <c r="Q418" s="5">
        <v>1</v>
      </c>
      <c r="R418" s="5">
        <v>1</v>
      </c>
      <c r="S418" cm="1">
        <f t="array" ref="S418">GetLatitude(U418)</f>
        <v>33.744571200000003</v>
      </c>
      <c r="T418" cm="1">
        <f t="array" ref="T418">GetLongitude(U418)</f>
        <v>72.842173399999993</v>
      </c>
      <c r="U418" t="str">
        <f t="shared" si="18"/>
        <v>Dharmarajika Stupa, Taxila, PK</v>
      </c>
      <c r="V418" t="str" cm="1">
        <f t="array" ref="V418">GetCoordinates(U418)</f>
        <v>33.7445712, 72.8421734</v>
      </c>
      <c r="W418" s="13" cm="1">
        <f t="array" ref="W418">TravelTime(A418,U418,AB418)</f>
        <v>16872</v>
      </c>
      <c r="X418" s="13">
        <f t="shared" si="19"/>
        <v>281.2</v>
      </c>
      <c r="Y418" s="13" cm="1">
        <f t="array" ref="Y418">TravelDistance(A418,U418,AB418)</f>
        <v>380614</v>
      </c>
      <c r="Z418" s="13" t="str">
        <f t="shared" si="20"/>
        <v>380.61km</v>
      </c>
      <c r="AA418" s="14" t="s">
        <v>361</v>
      </c>
      <c r="AB418" t="s">
        <v>355</v>
      </c>
    </row>
    <row r="419" spans="1:28" ht="12.75" x14ac:dyDescent="0.2">
      <c r="A419" s="2" t="s">
        <v>190</v>
      </c>
      <c r="B419" s="2" t="s">
        <v>332</v>
      </c>
      <c r="D419" s="3" t="s">
        <v>28</v>
      </c>
      <c r="E419" s="3" t="s">
        <v>29</v>
      </c>
      <c r="F419" s="3" t="s">
        <v>337</v>
      </c>
      <c r="G419" s="5">
        <v>1</v>
      </c>
      <c r="H419" s="5">
        <v>1</v>
      </c>
      <c r="I419" s="5">
        <v>1</v>
      </c>
      <c r="J419" s="5">
        <v>1</v>
      </c>
      <c r="K419" s="5">
        <v>1</v>
      </c>
      <c r="L419" s="5">
        <v>1</v>
      </c>
      <c r="M419" s="5">
        <v>1</v>
      </c>
      <c r="N419" s="5">
        <v>1</v>
      </c>
      <c r="O419" s="5">
        <v>1</v>
      </c>
      <c r="P419" s="5">
        <v>1</v>
      </c>
      <c r="Q419" s="5">
        <v>1</v>
      </c>
      <c r="R419" s="5">
        <v>1</v>
      </c>
      <c r="S419" cm="1">
        <f t="array" ref="S419">GetLatitude(U419)</f>
        <v>33.758331499999997</v>
      </c>
      <c r="T419" cm="1">
        <f t="array" ref="T419">GetLongitude(U419)</f>
        <v>72.827249499999994</v>
      </c>
      <c r="U419" t="str">
        <f t="shared" si="18"/>
        <v>Sirkap, Taxila, PK</v>
      </c>
      <c r="V419" t="str" cm="1">
        <f t="array" ref="V419">GetCoordinates(U419)</f>
        <v>33.7583315, 72.8272495</v>
      </c>
      <c r="W419" s="13" cm="1">
        <f t="array" ref="W419">TravelTime(A419,U419,AB419)</f>
        <v>16946</v>
      </c>
      <c r="X419" s="13">
        <f t="shared" si="19"/>
        <v>282.43333333333334</v>
      </c>
      <c r="Y419" s="13" cm="1">
        <f t="array" ref="Y419">TravelDistance(A419,U419,AB419)</f>
        <v>380192</v>
      </c>
      <c r="Z419" s="13" t="str">
        <f t="shared" si="20"/>
        <v>380.19km</v>
      </c>
      <c r="AA419" s="14" t="s">
        <v>361</v>
      </c>
      <c r="AB419" t="s">
        <v>355</v>
      </c>
    </row>
    <row r="420" spans="1:28" ht="12.75" x14ac:dyDescent="0.2">
      <c r="A420" s="2" t="s">
        <v>190</v>
      </c>
      <c r="B420" s="2" t="s">
        <v>332</v>
      </c>
      <c r="D420" s="3" t="s">
        <v>117</v>
      </c>
      <c r="E420" s="3" t="s">
        <v>29</v>
      </c>
      <c r="F420" s="3" t="s">
        <v>338</v>
      </c>
      <c r="G420" s="5">
        <v>1</v>
      </c>
      <c r="H420" s="5">
        <v>1</v>
      </c>
      <c r="I420" s="5">
        <v>1</v>
      </c>
      <c r="J420" s="5">
        <v>1</v>
      </c>
      <c r="K420" s="5">
        <v>1</v>
      </c>
      <c r="L420" s="5">
        <v>1</v>
      </c>
      <c r="M420" s="5">
        <v>1</v>
      </c>
      <c r="N420" s="5">
        <v>1</v>
      </c>
      <c r="O420" s="5">
        <v>1</v>
      </c>
      <c r="P420" s="5">
        <v>1</v>
      </c>
      <c r="Q420" s="5">
        <v>1</v>
      </c>
      <c r="R420" s="5">
        <v>1</v>
      </c>
      <c r="S420" cm="1">
        <f t="array" ref="S420">GetLatitude(U420)</f>
        <v>33.746282600000001</v>
      </c>
      <c r="T420" cm="1">
        <f t="array" ref="T420">GetLongitude(U420)</f>
        <v>72.839731700000002</v>
      </c>
      <c r="U420" t="str">
        <f t="shared" si="18"/>
        <v>Giri Fort, Taxila, PK</v>
      </c>
      <c r="V420" t="str" cm="1">
        <f t="array" ref="V420">GetCoordinates(U420)</f>
        <v>33.7462826, 72.8397317</v>
      </c>
      <c r="W420" s="13" cm="1">
        <f t="array" ref="W420">TravelTime(A420,U420,AB420)</f>
        <v>16860</v>
      </c>
      <c r="X420" s="13">
        <f t="shared" si="19"/>
        <v>281</v>
      </c>
      <c r="Y420" s="13" cm="1">
        <f t="array" ref="Y420">TravelDistance(A420,U420,AB420)</f>
        <v>380238</v>
      </c>
      <c r="Z420" s="13" t="str">
        <f t="shared" si="20"/>
        <v>380.24km</v>
      </c>
      <c r="AA420" s="14" t="s">
        <v>361</v>
      </c>
      <c r="AB420" t="s">
        <v>355</v>
      </c>
    </row>
    <row r="421" spans="1:28" ht="15" x14ac:dyDescent="0.25">
      <c r="A421" s="2" t="s">
        <v>190</v>
      </c>
      <c r="B421" s="2" t="s">
        <v>283</v>
      </c>
      <c r="D421" s="3" t="s">
        <v>52</v>
      </c>
      <c r="E421" s="4" t="s">
        <v>29</v>
      </c>
      <c r="F421" s="4" t="s">
        <v>284</v>
      </c>
      <c r="G421" s="5">
        <v>1</v>
      </c>
      <c r="H421" s="5">
        <v>1</v>
      </c>
      <c r="I421" s="5">
        <v>1</v>
      </c>
      <c r="J421" s="5">
        <v>1</v>
      </c>
      <c r="K421" s="5">
        <v>1</v>
      </c>
      <c r="L421" s="5">
        <v>1</v>
      </c>
      <c r="M421" s="5">
        <v>1</v>
      </c>
      <c r="N421" s="5">
        <v>1</v>
      </c>
      <c r="O421" s="5">
        <v>1</v>
      </c>
      <c r="P421" s="5">
        <v>1</v>
      </c>
      <c r="Q421" s="5">
        <v>0</v>
      </c>
      <c r="R421" s="5">
        <v>0</v>
      </c>
      <c r="S421" cm="1">
        <f t="array" ref="S421">GetLatitude(U421)</f>
        <v>35.536887999999998</v>
      </c>
      <c r="T421" cm="1">
        <f t="array" ref="T421">GetLongitude(U421)</f>
        <v>72.219329400000007</v>
      </c>
      <c r="U421" t="str">
        <f t="shared" si="18"/>
        <v>Kumrat Valley Upper Dir Kohistan, Upper Dir, PK</v>
      </c>
      <c r="V421" t="str" cm="1">
        <f t="array" ref="V421">GetCoordinates(U421)</f>
        <v>35.5368880, 72.2193294</v>
      </c>
      <c r="W421" s="13" t="e" cm="1">
        <f t="array" ref="W421">TravelTime(A421,U421,AB421)</f>
        <v>#VALUE!</v>
      </c>
      <c r="X421" s="13" t="e">
        <f t="shared" si="19"/>
        <v>#VALUE!</v>
      </c>
      <c r="Y421" s="13" cm="1">
        <f t="array" ref="Y421">TravelDistance(A421,U421,AB421)</f>
        <v>720120</v>
      </c>
      <c r="Z421" s="13" t="str">
        <f t="shared" si="20"/>
        <v>720.12km</v>
      </c>
      <c r="AA421" s="14" t="s">
        <v>361</v>
      </c>
      <c r="AB421" t="s">
        <v>355</v>
      </c>
    </row>
    <row r="423" spans="1:28" ht="12.75" x14ac:dyDescent="0.2">
      <c r="A423" s="2"/>
      <c r="B423" s="2"/>
    </row>
    <row r="424" spans="1:28" ht="12.75" x14ac:dyDescent="0.2">
      <c r="A424" s="2"/>
      <c r="B424" s="2"/>
    </row>
    <row r="425" spans="1:28" ht="12.75" x14ac:dyDescent="0.2">
      <c r="A425" s="2"/>
      <c r="B425" s="2"/>
    </row>
    <row r="426" spans="1:28" ht="12.75" x14ac:dyDescent="0.2">
      <c r="A426" s="2"/>
      <c r="B426" s="2"/>
    </row>
    <row r="427" spans="1:28" ht="15" x14ac:dyDescent="0.25">
      <c r="A427" s="2"/>
      <c r="B427" s="6"/>
      <c r="F427" s="4"/>
    </row>
    <row r="428" spans="1:28" ht="15" x14ac:dyDescent="0.25">
      <c r="A428" s="2"/>
      <c r="B428" s="6"/>
      <c r="E428" s="4"/>
      <c r="F428" s="4"/>
    </row>
    <row r="429" spans="1:28" ht="15" x14ac:dyDescent="0.25">
      <c r="A429" s="2"/>
      <c r="B429" s="6"/>
      <c r="E429" s="4"/>
      <c r="F429" s="4"/>
    </row>
    <row r="430" spans="1:28" ht="15" x14ac:dyDescent="0.25">
      <c r="A430" s="2"/>
      <c r="B430" s="6"/>
      <c r="E430" s="4"/>
      <c r="F430" s="4"/>
    </row>
    <row r="431" spans="1:28" ht="15" x14ac:dyDescent="0.25">
      <c r="A431" s="2"/>
      <c r="B431" s="6"/>
      <c r="E431" s="4"/>
      <c r="F431" s="4"/>
    </row>
    <row r="432" spans="1:28" ht="15" x14ac:dyDescent="0.25">
      <c r="A432" s="2"/>
      <c r="B432" s="6"/>
      <c r="E432" s="4"/>
      <c r="F432" s="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"/>
  <sheetViews>
    <sheetView workbookViewId="0"/>
  </sheetViews>
  <sheetFormatPr defaultColWidth="14.42578125" defaultRowHeight="15.75" customHeight="1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B7"/>
  <sheetViews>
    <sheetView workbookViewId="0"/>
  </sheetViews>
  <sheetFormatPr defaultColWidth="14.42578125" defaultRowHeight="15.75" customHeight="1" x14ac:dyDescent="0.2"/>
  <sheetData>
    <row r="1" spans="1:2" x14ac:dyDescent="0.2">
      <c r="A1" s="11" t="s">
        <v>339</v>
      </c>
      <c r="B1" s="11" t="s">
        <v>340</v>
      </c>
    </row>
    <row r="2" spans="1:2" x14ac:dyDescent="0.2">
      <c r="A2" s="9" t="s">
        <v>341</v>
      </c>
      <c r="B2" s="9" t="s">
        <v>342</v>
      </c>
    </row>
    <row r="3" spans="1:2" x14ac:dyDescent="0.2">
      <c r="A3" s="9" t="s">
        <v>343</v>
      </c>
      <c r="B3" s="9" t="s">
        <v>344</v>
      </c>
    </row>
    <row r="4" spans="1:2" x14ac:dyDescent="0.2">
      <c r="A4" s="9" t="s">
        <v>345</v>
      </c>
      <c r="B4" s="9" t="s">
        <v>344</v>
      </c>
    </row>
    <row r="5" spans="1:2" x14ac:dyDescent="0.2">
      <c r="A5" s="9" t="s">
        <v>346</v>
      </c>
      <c r="B5" s="9" t="s">
        <v>347</v>
      </c>
    </row>
    <row r="6" spans="1:2" x14ac:dyDescent="0.2">
      <c r="A6" s="9" t="s">
        <v>348</v>
      </c>
      <c r="B6" s="9" t="s">
        <v>349</v>
      </c>
    </row>
    <row r="7" spans="1:2" x14ac:dyDescent="0.2">
      <c r="A7" s="9" t="s">
        <v>350</v>
      </c>
      <c r="B7" s="9" t="s">
        <v>351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NVScriptsProperties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Bilal Fayyaz</dc:creator>
  <cp:lastModifiedBy>Bilal Fayyaz</cp:lastModifiedBy>
  <dcterms:created xsi:type="dcterms:W3CDTF">2020-06-13T10:26:30Z</dcterms:created>
  <dcterms:modified xsi:type="dcterms:W3CDTF">2020-06-23T11:56:17Z</dcterms:modified>
</cp:coreProperties>
</file>